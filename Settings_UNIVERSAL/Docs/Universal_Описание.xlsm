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Docs\"/>
    </mc:Choice>
  </mc:AlternateContent>
  <bookViews>
    <workbookView xWindow="0" yWindow="0" windowWidth="28800" windowHeight="12420" activeTab="2"/>
  </bookViews>
  <sheets>
    <sheet name="ПРАВИЛА" sheetId="1" r:id="rId1"/>
    <sheet name="Структуры" sheetId="2" r:id="rId2"/>
    <sheet name="Зависимости" sheetId="3" r:id="rId3"/>
    <sheet name="Аварии" sheetId="5" r:id="rId4"/>
    <sheet name="Дисплей" sheetId="4" r:id="rId5"/>
  </sheets>
  <definedNames>
    <definedName name="STCT_Display">Структуры!$A$3:$N$23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5" i="2" l="1"/>
  <c r="K80" i="3" l="1"/>
  <c r="K68" i="3"/>
  <c r="E68" i="3"/>
  <c r="D68" i="3"/>
  <c r="C68" i="3"/>
  <c r="I60" i="3"/>
  <c r="I59" i="3"/>
  <c r="I58" i="3"/>
  <c r="I57" i="3"/>
</calcChain>
</file>

<file path=xl/sharedStrings.xml><?xml version="1.0" encoding="utf-8"?>
<sst xmlns="http://schemas.openxmlformats.org/spreadsheetml/2006/main" count="1029" uniqueCount="699">
  <si>
    <t>1.</t>
  </si>
  <si>
    <t>2.</t>
  </si>
  <si>
    <t>UNIVERSAL\Interfaces\UNIVERSAL\Device1\Terminal1\Classes.otsf</t>
  </si>
  <si>
    <t>ВСЕГДА используйте последнюю версию файлы из текущей программы.</t>
  </si>
  <si>
    <t>Если класс отсутствует (имеет другое имя), то он НЕ добавляется</t>
  </si>
  <si>
    <t>3.</t>
  </si>
  <si>
    <t>заменяя все данные на этой вкладке.</t>
  </si>
  <si>
    <t>4.</t>
  </si>
  <si>
    <t>5.</t>
  </si>
  <si>
    <t>ОПИСАНИЕ СТРУКТУРЫ Display</t>
  </si>
  <si>
    <t>Отвечает за отображение переменных на масках, а так же адресацию вводимых/выводимых значений.</t>
  </si>
  <si>
    <t>Структура</t>
  </si>
  <si>
    <t>Элемент</t>
  </si>
  <si>
    <t>Тип</t>
  </si>
  <si>
    <t>Размер массива</t>
  </si>
  <si>
    <t>Retain</t>
  </si>
  <si>
    <t>Описание</t>
  </si>
  <si>
    <t>Примечание</t>
  </si>
  <si>
    <t>Display.</t>
  </si>
  <si>
    <t>MaskID</t>
  </si>
  <si>
    <t>USINT</t>
  </si>
  <si>
    <t>-</t>
  </si>
  <si>
    <t>номер текущей отображаемой маске из списка MASKS_ID.</t>
  </si>
  <si>
    <t>К списку =&gt;</t>
  </si>
  <si>
    <t xml:space="preserve">Hint </t>
  </si>
  <si>
    <t>подсказки в подвале.</t>
  </si>
  <si>
    <t>MaskHeader</t>
  </si>
  <si>
    <t>заголовок маски.</t>
  </si>
  <si>
    <t>Descr</t>
  </si>
  <si>
    <t>[1..8]</t>
  </si>
  <si>
    <t>отображение описаний, пунктов меню и др. текстовой информации</t>
  </si>
  <si>
    <t>value_BOOL</t>
  </si>
  <si>
    <t>отображение булевых значений (0 - скрыто, 1 -  TRUE, 2 - FALSE)</t>
  </si>
  <si>
    <t>value_INT</t>
  </si>
  <si>
    <t>INT</t>
  </si>
  <si>
    <t>отображение целочисленных значений</t>
  </si>
  <si>
    <t>value_REAL</t>
  </si>
  <si>
    <t>REAL</t>
  </si>
  <si>
    <t>отображение real значений</t>
  </si>
  <si>
    <t>en_IntValue</t>
  </si>
  <si>
    <t>BOOL</t>
  </si>
  <si>
    <t>разрешение на отображение целочисленных значений</t>
  </si>
  <si>
    <t xml:space="preserve">Необходимы для </t>
  </si>
  <si>
    <t>en_IntREAL</t>
  </si>
  <si>
    <t>разрешение на отображение real значений</t>
  </si>
  <si>
    <t>скрытия параметра</t>
  </si>
  <si>
    <t>value_MinINT</t>
  </si>
  <si>
    <t>минимальное ограничение значения value_REAL</t>
  </si>
  <si>
    <t>value_MinREAL</t>
  </si>
  <si>
    <t>минимальное ограничение значения value_INT</t>
  </si>
  <si>
    <t>value_MaxINT</t>
  </si>
  <si>
    <t>максимальное ограничение значения value_REAL</t>
  </si>
  <si>
    <t>value_MaxREAL</t>
  </si>
  <si>
    <t>максимальное ограничение значения value_INT</t>
  </si>
  <si>
    <t>value_Storage</t>
  </si>
  <si>
    <t>ссылка на хранилище в структуре Param.(BOOL, INT или REAL)</t>
  </si>
  <si>
    <t>Param =&gt;</t>
  </si>
  <si>
    <t>value_Address</t>
  </si>
  <si>
    <t>ссылка на адрес в структуре Param.(BOOL, INT или REAL)</t>
  </si>
  <si>
    <t>value_Type</t>
  </si>
  <si>
    <t>тип пункта меню</t>
  </si>
  <si>
    <t>MainMenu =&gt;</t>
  </si>
  <si>
    <t>UoM</t>
  </si>
  <si>
    <t>единицы измерения</t>
  </si>
  <si>
    <t>ОПИСАНИЕ СТРУКТУРЫ U (STCT_Analog_IO)</t>
  </si>
  <si>
    <t>Конфигурирует универсальные входы и принимает значения с c.design</t>
  </si>
  <si>
    <t>U.</t>
  </si>
  <si>
    <t>Direction</t>
  </si>
  <si>
    <t>+</t>
  </si>
  <si>
    <t>Направление универсального входа</t>
  </si>
  <si>
    <t>0 - вход, 1 - выход</t>
  </si>
  <si>
    <t>IOType</t>
  </si>
  <si>
    <t>Тип вх/вых. По нумерации Carel.</t>
  </si>
  <si>
    <t>Список =&gt;</t>
  </si>
  <si>
    <t>VarREAL</t>
  </si>
  <si>
    <t>Значение вх/вых в REAL формате</t>
  </si>
  <si>
    <t>Error_var</t>
  </si>
  <si>
    <t>SINT</t>
  </si>
  <si>
    <t>Ошибка вх/вых</t>
  </si>
  <si>
    <t>IOMin</t>
  </si>
  <si>
    <t>Минимальный предел для аналогового входа</t>
  </si>
  <si>
    <t>IOMax</t>
  </si>
  <si>
    <t>Максимальный предел для аналогового входа</t>
  </si>
  <si>
    <t>Filter</t>
  </si>
  <si>
    <t>Фильтр для входа</t>
  </si>
  <si>
    <t>Code</t>
  </si>
  <si>
    <t>UINT</t>
  </si>
  <si>
    <t>Код привязанного сигнала</t>
  </si>
  <si>
    <t>КОДЫ_IO =&gt;</t>
  </si>
  <si>
    <t>ОПИСАНИЕ СТРУКТУРЫ Param (STCT_Param)</t>
  </si>
  <si>
    <t>Структура параметров</t>
  </si>
  <si>
    <t>Param.</t>
  </si>
  <si>
    <t>ARR_PARAM_BOOL</t>
  </si>
  <si>
    <t>Массив булевых параметров</t>
  </si>
  <si>
    <t>BOOL =&gt;</t>
  </si>
  <si>
    <t>ID_BOOL</t>
  </si>
  <si>
    <t>ARR_PARAM_BOOL_UINT</t>
  </si>
  <si>
    <t>ID параметра для его идентификации при обновлении</t>
  </si>
  <si>
    <t>VARIABLES_ID =&gt;</t>
  </si>
  <si>
    <t>ARR_PARAM_INT</t>
  </si>
  <si>
    <t>Массив целочисленных параметров</t>
  </si>
  <si>
    <t>INT =&gt;</t>
  </si>
  <si>
    <t>MinINT</t>
  </si>
  <si>
    <t xml:space="preserve">Массивы минимального и максимального ограничения параметра из массива INT (с тем же индексом). </t>
  </si>
  <si>
    <t>MaxINT</t>
  </si>
  <si>
    <t xml:space="preserve">                                                                     Иногда могут содержать ссылку на другой параметр (определяется LimitIsLink).</t>
  </si>
  <si>
    <t>ID_INT</t>
  </si>
  <si>
    <t>ARR_PARAM_INT_UINT</t>
  </si>
  <si>
    <t>ARR_PARAM_REAL</t>
  </si>
  <si>
    <t>Массив real параметров</t>
  </si>
  <si>
    <t>REAL =&gt;</t>
  </si>
  <si>
    <t>MinREAL</t>
  </si>
  <si>
    <t xml:space="preserve">Массивы минимального и максимального ограничения параметра из массива REAL (с тем же индексом). </t>
  </si>
  <si>
    <t>MaxREAL</t>
  </si>
  <si>
    <t>ID_REAL</t>
  </si>
  <si>
    <t>ARR_PARAM_REAL_UINT</t>
  </si>
  <si>
    <t>ОПИСАНИЕ СТРУКТУРЫ SEQ_Params (STCT_SEQ_Param)</t>
  </si>
  <si>
    <t>Структура параметров последовательностей</t>
  </si>
  <si>
    <t>SEQ_Params.</t>
  </si>
  <si>
    <t>Indx</t>
  </si>
  <si>
    <t>link_Address</t>
  </si>
  <si>
    <t>Ссылка на данные</t>
  </si>
  <si>
    <t>Ссылка на номер элемента значения (Indx)</t>
  </si>
  <si>
    <t>link_StorageAndUoM</t>
  </si>
  <si>
    <t>Адрес массива со значениями</t>
  </si>
  <si>
    <t>---</t>
  </si>
  <si>
    <t>Скрытие параметра</t>
  </si>
  <si>
    <t>UoM (Unit of Measurement) Единицы измерения</t>
  </si>
  <si>
    <t>max</t>
  </si>
  <si>
    <t>255 байт</t>
  </si>
  <si>
    <t>510 байт</t>
  </si>
  <si>
    <t>1020 байт</t>
  </si>
  <si>
    <t>param_</t>
  </si>
  <si>
    <t>LimitIsLink</t>
  </si>
  <si>
    <t>Флаг, определяющий, являются ли значения в Min и Max ссылками на другие элементы ((По формату LINK) или значениями</t>
  </si>
  <si>
    <t xml:space="preserve">0 - значения, 1 - элемент в массиве MIN - ссылка, 2 - элемент в массиве MAX - ссылка, 3 -  оба элемента - ссылки </t>
  </si>
  <si>
    <t>4.0</t>
  </si>
  <si>
    <t>ОПИСАНИЕ СТРУКТУРЫ Param ДЛЯ ПАРАМЕТРОВ</t>
  </si>
  <si>
    <t>param_LINKs</t>
  </si>
  <si>
    <t>Диапазон:</t>
  </si>
  <si>
    <t xml:space="preserve">1-255 </t>
  </si>
  <si>
    <t>Ссылка на BOOL, INT или REAL - массив</t>
  </si>
  <si>
    <t>0 - нет ссылки</t>
  </si>
  <si>
    <t>0 - BOOL, 1 - INT, 2 - REAL , 3-7 - РЕЗЕРВ</t>
  </si>
  <si>
    <t>! Можно адресс массива вычислять по UoM - освободится 3 бита</t>
  </si>
  <si>
    <t>0: +0,  1: +256, 2: +512</t>
  </si>
  <si>
    <t>в которые можно поместить LimitIsLink</t>
  </si>
  <si>
    <t xml:space="preserve"> +8 - параметр не используется(не отображается в масках)</t>
  </si>
  <si>
    <t>0 - без ед.изм., 1 - °С, 2 - К, 3 - %</t>
  </si>
  <si>
    <t>4 - бар, 5 - сек, 6 - мин, 7 - час</t>
  </si>
  <si>
    <t>Без ед.изм.</t>
  </si>
  <si>
    <t>°C</t>
  </si>
  <si>
    <t>K</t>
  </si>
  <si>
    <t>%</t>
  </si>
  <si>
    <t>бар</t>
  </si>
  <si>
    <t>сек</t>
  </si>
  <si>
    <t>мин</t>
  </si>
  <si>
    <t>час</t>
  </si>
  <si>
    <t>мА</t>
  </si>
  <si>
    <t>В</t>
  </si>
  <si>
    <t>ppm</t>
  </si>
  <si>
    <t>Па</t>
  </si>
  <si>
    <t>ОПИСАНИЕ СТРУКТУРЫ cfgIO для Конфигуратора</t>
  </si>
  <si>
    <t>cfgIO.</t>
  </si>
  <si>
    <t xml:space="preserve">- поддерживаемые типы вх/вых текущим вх/вых. Содержит (побитово) все возможные типы для данного входа </t>
  </si>
  <si>
    <t>Types</t>
  </si>
  <si>
    <t>Link_toTypes</t>
  </si>
  <si>
    <t>Link_toCodes</t>
  </si>
  <si>
    <t>Type_Sup</t>
  </si>
  <si>
    <t>Values</t>
  </si>
  <si>
    <t>Errors</t>
  </si>
  <si>
    <t>Manual</t>
  </si>
  <si>
    <t xml:space="preserve"> - текущий тип вх/вых. Указывает на бит в Type_Sup (один из возможных типов)</t>
  </si>
  <si>
    <t>1..179</t>
  </si>
  <si>
    <t>1..448</t>
  </si>
  <si>
    <t>0..179</t>
  </si>
  <si>
    <t xml:space="preserve"> - список кодов сигналов (индекс).
 Содержит указатель на индекс массивов Type, Type_Sup и Values</t>
  </si>
  <si>
    <t>retain</t>
  </si>
  <si>
    <t xml:space="preserve"> - ссылка на коды привязанных сигналов</t>
  </si>
  <si>
    <t xml:space="preserve"> - значения входов/выходов в REAL</t>
  </si>
  <si>
    <t xml:space="preserve"> - Ошибки вх/вых</t>
  </si>
  <si>
    <t xml:space="preserve"> - флаг ручного управления входом или выходом</t>
  </si>
  <si>
    <t xml:space="preserve"> - максимально возможное число вх/вых для комбинации: контроллер + 6 модулей расширения</t>
  </si>
  <si>
    <t xml:space="preserve"> -количество сигналов (включая резервы)</t>
  </si>
  <si>
    <t>cfgIO</t>
  </si>
  <si>
    <t>IO</t>
  </si>
  <si>
    <t>Bit</t>
  </si>
  <si>
    <t>DI 1</t>
  </si>
  <si>
    <t>Нет типа</t>
  </si>
  <si>
    <t>[резерв]</t>
  </si>
  <si>
    <t>DI 2</t>
  </si>
  <si>
    <t>DIn</t>
  </si>
  <si>
    <t>DI 3</t>
  </si>
  <si>
    <t>DOut</t>
  </si>
  <si>
    <t>Дист.ВКЛ/ВЫКЛ.</t>
  </si>
  <si>
    <t>DI 4</t>
  </si>
  <si>
    <t>Carel NTC</t>
  </si>
  <si>
    <t>Откл.при пожаре</t>
  </si>
  <si>
    <t>DI 5</t>
  </si>
  <si>
    <t>PT1000</t>
  </si>
  <si>
    <t>Перекл.уставок</t>
  </si>
  <si>
    <t>DI 6</t>
  </si>
  <si>
    <t>0..1V</t>
  </si>
  <si>
    <t>Отказ питания</t>
  </si>
  <si>
    <t>DI 7</t>
  </si>
  <si>
    <t>0..10V</t>
  </si>
  <si>
    <t>Фильтр П</t>
  </si>
  <si>
    <t>DI 8</t>
  </si>
  <si>
    <t>4..20mA</t>
  </si>
  <si>
    <t>Фильтр В</t>
  </si>
  <si>
    <t>DI 9</t>
  </si>
  <si>
    <t>0..5V</t>
  </si>
  <si>
    <t>Ресурс д.фильтр1</t>
  </si>
  <si>
    <t>DI 10</t>
  </si>
  <si>
    <t>0..20mA</t>
  </si>
  <si>
    <t>Ресурс д.фильтр2</t>
  </si>
  <si>
    <t>DI 11</t>
  </si>
  <si>
    <t>Резерв</t>
  </si>
  <si>
    <t>…</t>
  </si>
  <si>
    <t>DI 12</t>
  </si>
  <si>
    <t>DI 13</t>
  </si>
  <si>
    <t>PWM 100Hz</t>
  </si>
  <si>
    <t>DI 14</t>
  </si>
  <si>
    <t>PWM 2 kHz</t>
  </si>
  <si>
    <t>DI 15</t>
  </si>
  <si>
    <t>DI 16</t>
  </si>
  <si>
    <t>DI 17</t>
  </si>
  <si>
    <t>DI 18</t>
  </si>
  <si>
    <t>Y1</t>
  </si>
  <si>
    <t>Y2</t>
  </si>
  <si>
    <t>Y3</t>
  </si>
  <si>
    <t>Y4</t>
  </si>
  <si>
    <t>Y5</t>
  </si>
  <si>
    <t>Y6</t>
  </si>
  <si>
    <t>NO 1</t>
  </si>
  <si>
    <t>NO 2</t>
  </si>
  <si>
    <t>NO 3</t>
  </si>
  <si>
    <t>NO 4</t>
  </si>
  <si>
    <t>NO 5</t>
  </si>
  <si>
    <t>NO 6</t>
  </si>
  <si>
    <t>NO 7</t>
  </si>
  <si>
    <t>NO 8</t>
  </si>
  <si>
    <t>NO 9</t>
  </si>
  <si>
    <t>NO 10</t>
  </si>
  <si>
    <t>NO 11</t>
  </si>
  <si>
    <t>NO 12</t>
  </si>
  <si>
    <t>NO 13</t>
  </si>
  <si>
    <t>NO 14</t>
  </si>
  <si>
    <t>NO 15</t>
  </si>
  <si>
    <t>NO 16</t>
  </si>
  <si>
    <t>NO 17</t>
  </si>
  <si>
    <t>NO 18</t>
  </si>
  <si>
    <t>NO 19</t>
  </si>
  <si>
    <t>NO 20</t>
  </si>
  <si>
    <t>NO 21</t>
  </si>
  <si>
    <t>NO 22</t>
  </si>
  <si>
    <t>NO 23</t>
  </si>
  <si>
    <t>NO 24</t>
  </si>
  <si>
    <t>NO 25</t>
  </si>
  <si>
    <t>NO 26</t>
  </si>
  <si>
    <t>NO 27</t>
  </si>
  <si>
    <t>NO 28</t>
  </si>
  <si>
    <t>NO 29</t>
  </si>
  <si>
    <t>U 1</t>
  </si>
  <si>
    <t>U 2</t>
  </si>
  <si>
    <t>U 3</t>
  </si>
  <si>
    <t>U 4</t>
  </si>
  <si>
    <t>U 5</t>
  </si>
  <si>
    <t>U 6</t>
  </si>
  <si>
    <t>U 7</t>
  </si>
  <si>
    <t>U 8</t>
  </si>
  <si>
    <t>U 9</t>
  </si>
  <si>
    <t>U 10</t>
  </si>
  <si>
    <t>mini DI 1</t>
  </si>
  <si>
    <t>mini DI 2</t>
  </si>
  <si>
    <t>mini Y1</t>
  </si>
  <si>
    <t>mini Y2</t>
  </si>
  <si>
    <t>mini NO 1</t>
  </si>
  <si>
    <t>mini NO 2</t>
  </si>
  <si>
    <t>mini NO 3</t>
  </si>
  <si>
    <t>mini NO 4</t>
  </si>
  <si>
    <t>mini NO 5</t>
  </si>
  <si>
    <t>mini NO 6</t>
  </si>
  <si>
    <t>mini U 1</t>
  </si>
  <si>
    <t>mini U 2</t>
  </si>
  <si>
    <t>mini U 3</t>
  </si>
  <si>
    <t>mini U 4</t>
  </si>
  <si>
    <t>mini U 5</t>
  </si>
  <si>
    <t>mini U 6</t>
  </si>
  <si>
    <t>mini U 7</t>
  </si>
  <si>
    <t>mini U 8</t>
  </si>
  <si>
    <t>mini U 9</t>
  </si>
  <si>
    <t>mini U 10</t>
  </si>
  <si>
    <t>pCOe1:U1</t>
  </si>
  <si>
    <t>pCOe1:U2</t>
  </si>
  <si>
    <t>pCOe1:U3</t>
  </si>
  <si>
    <t>pCOe1:U4</t>
  </si>
  <si>
    <t>pCOe1:U5</t>
  </si>
  <si>
    <t>pCOe1:U6</t>
  </si>
  <si>
    <t>pCOe1:U7</t>
  </si>
  <si>
    <t>pCOe1:U8</t>
  </si>
  <si>
    <t>pCOe1:U9</t>
  </si>
  <si>
    <t>pCOe1:U10</t>
  </si>
  <si>
    <t>pCOe1:NO1</t>
  </si>
  <si>
    <t>pCOe1:NO2</t>
  </si>
  <si>
    <t>pCOe1:NO3</t>
  </si>
  <si>
    <t>pCOe1:NO4</t>
  </si>
  <si>
    <t>pCOe1:NO5</t>
  </si>
  <si>
    <t>pCOe1:NO6</t>
  </si>
  <si>
    <t>pCOe2:U1</t>
  </si>
  <si>
    <t>pCOe2:U2</t>
  </si>
  <si>
    <t>pCOe2:U3</t>
  </si>
  <si>
    <t>pCOe2:U4</t>
  </si>
  <si>
    <t>pCOe2:U5</t>
  </si>
  <si>
    <t>pCOe2:U6</t>
  </si>
  <si>
    <t>pCOe2:U7</t>
  </si>
  <si>
    <t>pCOe2:U8</t>
  </si>
  <si>
    <t>pCOe2:U9</t>
  </si>
  <si>
    <t>pCOe2:U10</t>
  </si>
  <si>
    <t>pCOe2:NO1</t>
  </si>
  <si>
    <t>pCOe2:NO2</t>
  </si>
  <si>
    <t>pCOe2:NO3</t>
  </si>
  <si>
    <t>pCOe2:NO4</t>
  </si>
  <si>
    <t>pCOe2:NO5</t>
  </si>
  <si>
    <t>pCOe2:NO6</t>
  </si>
  <si>
    <t>pCOe3:U1</t>
  </si>
  <si>
    <t>pCOe3:U2</t>
  </si>
  <si>
    <t>pCOe3:U3</t>
  </si>
  <si>
    <t>pCOe3:U4</t>
  </si>
  <si>
    <t>pCOe3:U5</t>
  </si>
  <si>
    <t>pCOe3:U6</t>
  </si>
  <si>
    <t>pCOe3:U7</t>
  </si>
  <si>
    <t>pCOe3:U8</t>
  </si>
  <si>
    <t>pCOe3:U9</t>
  </si>
  <si>
    <t>pCOe3:U10</t>
  </si>
  <si>
    <t>pCOe3:NO1</t>
  </si>
  <si>
    <t>pCOe3:NO2</t>
  </si>
  <si>
    <t>pCOe3:NO3</t>
  </si>
  <si>
    <t>pCOe3:NO4</t>
  </si>
  <si>
    <t>pCOe3:NO5</t>
  </si>
  <si>
    <t>pCOe3:NO6</t>
  </si>
  <si>
    <t>pCOe4:U1</t>
  </si>
  <si>
    <t>pCOe4:U2</t>
  </si>
  <si>
    <t>pCOe4:U3</t>
  </si>
  <si>
    <t>pCOe4:U4</t>
  </si>
  <si>
    <t>pCOe4:U5</t>
  </si>
  <si>
    <t>pCOe4:U6</t>
  </si>
  <si>
    <t>pCOe4:U7</t>
  </si>
  <si>
    <t>pCOe4:U8</t>
  </si>
  <si>
    <t>pCOe4:U9</t>
  </si>
  <si>
    <t>pCOe4:U10</t>
  </si>
  <si>
    <t>pCOe4:NO1</t>
  </si>
  <si>
    <t>pCOe4:NO2</t>
  </si>
  <si>
    <t>pCOe4:NO3</t>
  </si>
  <si>
    <t>pCOe4:NO4</t>
  </si>
  <si>
    <t>pCOe4:NO5</t>
  </si>
  <si>
    <t>pCOe4:NO6</t>
  </si>
  <si>
    <t>pCOe5:U1</t>
  </si>
  <si>
    <t>pCOe5:U2</t>
  </si>
  <si>
    <t>pCOe5:U3</t>
  </si>
  <si>
    <t>pCOe5:U4</t>
  </si>
  <si>
    <t>pCOe5:U5</t>
  </si>
  <si>
    <t>pCOe5:U6</t>
  </si>
  <si>
    <t>pCOe5:U7</t>
  </si>
  <si>
    <t>pCOe5:U8</t>
  </si>
  <si>
    <t>pCOe5:U9</t>
  </si>
  <si>
    <t>pCOe5:U10</t>
  </si>
  <si>
    <t>pCOe5:NO1</t>
  </si>
  <si>
    <t>pCOe5:NO2</t>
  </si>
  <si>
    <t>pCOe5:NO3</t>
  </si>
  <si>
    <t>pCOe5:NO4</t>
  </si>
  <si>
    <t>pCOe5:NO5</t>
  </si>
  <si>
    <t>pCOe5:NO6</t>
  </si>
  <si>
    <t>pCOe6:U1</t>
  </si>
  <si>
    <t>pCOe6:U2</t>
  </si>
  <si>
    <t>pCOe6:U3</t>
  </si>
  <si>
    <t>pCOe6:U4</t>
  </si>
  <si>
    <t>pCOe6:U5</t>
  </si>
  <si>
    <t>pCOe6:U6</t>
  </si>
  <si>
    <t>pCOe6:U7</t>
  </si>
  <si>
    <t>pCOe6:U8</t>
  </si>
  <si>
    <t>pCOe6:U9</t>
  </si>
  <si>
    <t>pCOe6:U10</t>
  </si>
  <si>
    <t>pCOe6:NO1</t>
  </si>
  <si>
    <t>pCOe6:NO2</t>
  </si>
  <si>
    <t>pCOe6:NO3</t>
  </si>
  <si>
    <t>pCOe6:NO4</t>
  </si>
  <si>
    <t>pCOe6:NO5</t>
  </si>
  <si>
    <t>pCOe6:NO6</t>
  </si>
  <si>
    <r>
      <rPr>
        <b/>
        <sz val="14"/>
        <color theme="1"/>
        <rFont val="Calibri"/>
        <family val="2"/>
        <charset val="204"/>
        <scheme val="minor"/>
      </rPr>
      <t xml:space="preserve">НЕЛЬЗЯ: </t>
    </r>
    <r>
      <rPr>
        <sz val="14"/>
        <color theme="1"/>
        <rFont val="Calibri"/>
        <family val="2"/>
        <charset val="204"/>
        <scheme val="minor"/>
      </rPr>
      <t xml:space="preserve">  - менять названия вкладок</t>
    </r>
  </si>
  <si>
    <r>
      <t xml:space="preserve">Данные с вкладки </t>
    </r>
    <r>
      <rPr>
        <b/>
        <i/>
        <sz val="14"/>
        <color theme="1"/>
        <rFont val="Calibri"/>
        <family val="2"/>
        <charset val="204"/>
        <scheme val="minor"/>
      </rPr>
      <t xml:space="preserve">CLASSES </t>
    </r>
    <r>
      <rPr>
        <sz val="14"/>
        <color theme="1"/>
        <rFont val="Calibri"/>
        <family val="2"/>
        <charset val="204"/>
        <scheme val="minor"/>
      </rPr>
      <t xml:space="preserve"> заносятся в</t>
    </r>
  </si>
  <si>
    <r>
      <t xml:space="preserve">в блок тэга </t>
    </r>
    <r>
      <rPr>
        <b/>
        <i/>
        <sz val="14"/>
        <color theme="1"/>
        <rFont val="Calibri"/>
        <family val="2"/>
        <charset val="204"/>
        <scheme val="minor"/>
      </rPr>
      <t>&lt;ResourceUsedOnInt&gt;</t>
    </r>
  </si>
  <si>
    <r>
      <t xml:space="preserve">Данные на вкладке </t>
    </r>
    <r>
      <rPr>
        <b/>
        <i/>
        <sz val="14"/>
        <color theme="1"/>
        <rFont val="Calibri"/>
        <family val="2"/>
        <charset val="204"/>
        <scheme val="minor"/>
      </rPr>
      <t>DATATYPES</t>
    </r>
    <r>
      <rPr>
        <sz val="14"/>
        <color theme="1"/>
        <rFont val="Calibri"/>
        <family val="2"/>
        <charset val="204"/>
        <scheme val="minor"/>
      </rPr>
      <t xml:space="preserve"> формируются из анализа таблиц кодов IO, кодов сигналов </t>
    </r>
  </si>
  <si>
    <r>
      <t xml:space="preserve">Работает в связке с </t>
    </r>
    <r>
      <rPr>
        <i/>
        <sz val="14"/>
        <color theme="1"/>
        <rFont val="Calibri"/>
        <family val="2"/>
        <charset val="204"/>
        <scheme val="minor"/>
      </rPr>
      <t xml:space="preserve">Classes.otsf </t>
    </r>
    <r>
      <rPr>
        <sz val="14"/>
        <color theme="1"/>
        <rFont val="Calibri"/>
        <family val="2"/>
        <charset val="204"/>
        <scheme val="minor"/>
      </rPr>
      <t xml:space="preserve">!!!  Порядок действий: а) Если менялось кол-во элементов в классе - обновить </t>
    </r>
  </si>
  <si>
    <r>
      <rPr>
        <i/>
        <sz val="14"/>
        <color theme="1"/>
        <rFont val="Calibri"/>
        <family val="2"/>
        <charset val="204"/>
        <scheme val="minor"/>
      </rPr>
      <t>Classes.otsf</t>
    </r>
    <r>
      <rPr>
        <sz val="14"/>
        <color theme="1"/>
        <rFont val="Calibri"/>
        <family val="2"/>
        <charset val="204"/>
        <scheme val="minor"/>
      </rPr>
      <t xml:space="preserve"> в соответствии с п.2; б)Экспортировать Translate.xls из c.mask (ПКМ-&gt;Layout-&gt;Export-&gt;Translations To Excel);</t>
    </r>
  </si>
  <si>
    <r>
      <t xml:space="preserve">в) Поместить файл </t>
    </r>
    <r>
      <rPr>
        <i/>
        <sz val="14"/>
        <color theme="1"/>
        <rFont val="Calibri"/>
        <family val="2"/>
        <charset val="204"/>
        <scheme val="minor"/>
      </rPr>
      <t>Translate.xls</t>
    </r>
    <r>
      <rPr>
        <sz val="14"/>
        <color theme="1"/>
        <rFont val="Calibri"/>
        <family val="2"/>
        <charset val="204"/>
        <scheme val="minor"/>
      </rPr>
      <t xml:space="preserve"> в папку с Universal_Параметры; г)Запусить макрос; д) Импортировать измененный файл </t>
    </r>
  </si>
  <si>
    <r>
      <t>в c.mask(ПКМ-&gt;</t>
    </r>
    <r>
      <rPr>
        <i/>
        <sz val="14"/>
        <color theme="1"/>
        <rFont val="Calibri"/>
        <family val="2"/>
        <charset val="204"/>
        <scheme val="minor"/>
      </rPr>
      <t>Layout-&gt;Export-&gt;Translations From Excel</t>
    </r>
    <r>
      <rPr>
        <sz val="14"/>
        <color theme="1"/>
        <rFont val="Calibri"/>
        <family val="2"/>
        <charset val="204"/>
        <scheme val="minor"/>
      </rPr>
      <t>);</t>
    </r>
  </si>
  <si>
    <r>
      <rPr>
        <b/>
        <sz val="14"/>
        <color theme="1"/>
        <rFont val="Calibri"/>
        <family val="2"/>
        <charset val="204"/>
        <scheme val="minor"/>
      </rPr>
      <t xml:space="preserve">ВАЖНО! </t>
    </r>
    <r>
      <rPr>
        <sz val="14"/>
        <color theme="1"/>
        <rFont val="Calibri"/>
        <family val="2"/>
        <charset val="204"/>
        <scheme val="minor"/>
      </rPr>
      <t xml:space="preserve">Файл должен называться </t>
    </r>
    <r>
      <rPr>
        <i/>
        <u/>
        <sz val="14"/>
        <color theme="1"/>
        <rFont val="Calibri"/>
        <family val="2"/>
        <charset val="204"/>
        <scheme val="minor"/>
      </rPr>
      <t>Translate.xls</t>
    </r>
    <r>
      <rPr>
        <i/>
        <sz val="14"/>
        <color theme="1"/>
        <rFont val="Calibri"/>
        <family val="2"/>
        <charset val="204"/>
        <scheme val="minor"/>
      </rPr>
      <t xml:space="preserve"> </t>
    </r>
    <r>
      <rPr>
        <sz val="14"/>
        <color theme="1"/>
        <rFont val="Calibri"/>
        <family val="2"/>
        <charset val="204"/>
        <scheme val="minor"/>
      </rPr>
      <t xml:space="preserve">и быть в </t>
    </r>
    <r>
      <rPr>
        <u/>
        <sz val="14"/>
        <color theme="1"/>
        <rFont val="Calibri"/>
        <family val="2"/>
        <charset val="204"/>
        <scheme val="minor"/>
      </rPr>
      <t>той же папке</t>
    </r>
    <r>
      <rPr>
        <sz val="14"/>
        <color theme="1"/>
        <rFont val="Calibri"/>
        <family val="2"/>
        <charset val="204"/>
        <scheme val="minor"/>
      </rPr>
      <t xml:space="preserve"> что и файл с макросом, иначе макрос не поймёт.</t>
    </r>
  </si>
  <si>
    <t>Общие правила:</t>
  </si>
  <si>
    <t>Порядок работы:</t>
  </si>
  <si>
    <r>
      <t xml:space="preserve"> - Вызов </t>
    </r>
    <r>
      <rPr>
        <i/>
        <sz val="14"/>
        <color theme="1"/>
        <rFont val="Calibri"/>
        <family val="2"/>
        <charset val="204"/>
        <scheme val="minor"/>
      </rPr>
      <t>UserForm: Ctrl+Shift+F.</t>
    </r>
  </si>
  <si>
    <r>
      <t xml:space="preserve"> - Управление происходит через </t>
    </r>
    <r>
      <rPr>
        <i/>
        <sz val="14"/>
        <color theme="1"/>
        <rFont val="Calibri"/>
        <family val="2"/>
        <charset val="204"/>
        <scheme val="minor"/>
      </rPr>
      <t>UserForm.</t>
    </r>
  </si>
  <si>
    <t>1.1</t>
  </si>
  <si>
    <t>1.2</t>
  </si>
  <si>
    <t>1.3</t>
  </si>
  <si>
    <t>1.4</t>
  </si>
  <si>
    <t>1.5</t>
  </si>
  <si>
    <r>
      <t xml:space="preserve">Экспортировать </t>
    </r>
    <r>
      <rPr>
        <i/>
        <sz val="14"/>
        <color theme="1"/>
        <rFont val="Calibri"/>
        <family val="2"/>
        <charset val="204"/>
        <scheme val="minor"/>
      </rPr>
      <t>DataTypes.</t>
    </r>
    <r>
      <rPr>
        <b/>
        <i/>
        <u/>
        <sz val="14"/>
        <color theme="1"/>
        <rFont val="Calibri"/>
        <family val="2"/>
        <charset val="204"/>
        <scheme val="minor"/>
      </rPr>
      <t xml:space="preserve"> Обязательно!</t>
    </r>
  </si>
  <si>
    <r>
      <t xml:space="preserve">Поместить </t>
    </r>
    <r>
      <rPr>
        <i/>
        <sz val="14"/>
        <color theme="1"/>
        <rFont val="Calibri"/>
        <family val="2"/>
        <charset val="204"/>
        <scheme val="minor"/>
      </rPr>
      <t>DataTypes</t>
    </r>
    <r>
      <rPr>
        <sz val="14"/>
        <color theme="1"/>
        <rFont val="Calibri"/>
        <family val="2"/>
        <charset val="204"/>
        <scheme val="minor"/>
      </rPr>
      <t xml:space="preserve"> в одну папку с Universal_Параметры.</t>
    </r>
  </si>
  <si>
    <r>
      <t xml:space="preserve">Запустить </t>
    </r>
    <r>
      <rPr>
        <i/>
        <sz val="14"/>
        <color theme="1"/>
        <rFont val="Calibri"/>
        <family val="2"/>
        <charset val="204"/>
        <scheme val="minor"/>
      </rPr>
      <t xml:space="preserve">UserForm </t>
    </r>
    <r>
      <rPr>
        <sz val="14"/>
        <color theme="1"/>
        <rFont val="Calibri"/>
        <family val="2"/>
        <charset val="204"/>
        <scheme val="minor"/>
      </rPr>
      <t>без</t>
    </r>
    <r>
      <rPr>
        <i/>
        <sz val="14"/>
        <color theme="1"/>
        <rFont val="Calibri"/>
        <family val="2"/>
        <charset val="204"/>
        <scheme val="minor"/>
      </rPr>
      <t xml:space="preserve"> Translate</t>
    </r>
    <r>
      <rPr>
        <sz val="14"/>
        <color theme="1"/>
        <rFont val="Calibri"/>
        <family val="2"/>
        <charset val="204"/>
        <scheme val="minor"/>
      </rPr>
      <t xml:space="preserve"> и не обновляя </t>
    </r>
    <r>
      <rPr>
        <i/>
        <sz val="14"/>
        <color theme="1"/>
        <rFont val="Calibri"/>
        <family val="2"/>
        <charset val="204"/>
        <scheme val="minor"/>
      </rPr>
      <t>Variables.xml.</t>
    </r>
  </si>
  <si>
    <r>
      <t xml:space="preserve">Если изменения затрагивают списки масок, то скопировать ещё и 
</t>
    </r>
    <r>
      <rPr>
        <i/>
        <sz val="14"/>
        <color theme="1"/>
        <rFont val="Calibri"/>
        <family val="2"/>
        <charset val="204"/>
        <scheme val="minor"/>
      </rPr>
      <t>UNIVERSAL\Interfaces\UNIVERSAL\Device1\Terminal1\Classes.otsf</t>
    </r>
  </si>
  <si>
    <t>1.6</t>
  </si>
  <si>
    <t>1.7</t>
  </si>
  <si>
    <t>1.8</t>
  </si>
  <si>
    <r>
      <t xml:space="preserve">В </t>
    </r>
    <r>
      <rPr>
        <i/>
        <sz val="14"/>
        <color theme="1"/>
        <rFont val="Calibri"/>
        <family val="2"/>
        <charset val="204"/>
        <scheme val="minor"/>
      </rPr>
      <t>c.mask</t>
    </r>
    <r>
      <rPr>
        <sz val="14"/>
        <color theme="1"/>
        <rFont val="Calibri"/>
        <family val="2"/>
        <charset val="204"/>
        <scheme val="minor"/>
      </rPr>
      <t xml:space="preserve"> после обновления </t>
    </r>
    <r>
      <rPr>
        <i/>
        <sz val="14"/>
        <color theme="1"/>
        <rFont val="Calibri"/>
        <family val="2"/>
        <charset val="204"/>
        <scheme val="minor"/>
      </rPr>
      <t>Classes.otsf</t>
    </r>
    <r>
      <rPr>
        <sz val="14"/>
        <color theme="1"/>
        <rFont val="Calibri"/>
        <family val="2"/>
        <charset val="204"/>
        <scheme val="minor"/>
      </rPr>
      <t xml:space="preserve"> необходимо скомпилировать проект 
(есть глюк: иногда требуется перезагрузить проект). После этого экспортировать файл перевода.</t>
    </r>
    <r>
      <rPr>
        <i/>
        <sz val="14"/>
        <color theme="1"/>
        <rFont val="Calibri"/>
        <family val="2"/>
        <charset val="204"/>
        <scheme val="minor"/>
      </rPr>
      <t xml:space="preserve">
</t>
    </r>
    <r>
      <rPr>
        <b/>
        <i/>
        <sz val="14"/>
        <color theme="1"/>
        <rFont val="Calibri"/>
        <family val="2"/>
        <charset val="204"/>
        <scheme val="minor"/>
      </rPr>
      <t xml:space="preserve">Обязательно! </t>
    </r>
    <r>
      <rPr>
        <i/>
        <sz val="14"/>
        <color theme="1"/>
        <rFont val="Calibri"/>
        <family val="2"/>
        <charset val="204"/>
        <scheme val="minor"/>
      </rPr>
      <t xml:space="preserve">название файла должно быть </t>
    </r>
    <r>
      <rPr>
        <b/>
        <i/>
        <u/>
        <sz val="14"/>
        <color theme="1"/>
        <rFont val="Calibri"/>
        <family val="2"/>
        <charset val="204"/>
        <scheme val="minor"/>
      </rPr>
      <t>Translate.xls</t>
    </r>
  </si>
  <si>
    <t>1.9</t>
  </si>
  <si>
    <r>
      <t xml:space="preserve">Скопировать файл Translate.xls в папку с Universal_Параметры. Запустить макрос. 
Выбрать </t>
    </r>
    <r>
      <rPr>
        <i/>
        <sz val="14"/>
        <color theme="1"/>
        <rFont val="Calibri"/>
        <family val="2"/>
        <charset val="204"/>
        <scheme val="minor"/>
      </rPr>
      <t>"Только Translate"</t>
    </r>
    <r>
      <rPr>
        <sz val="14"/>
        <color theme="1"/>
        <rFont val="Calibri"/>
        <family val="2"/>
        <charset val="204"/>
        <scheme val="minor"/>
      </rPr>
      <t xml:space="preserve">.  После завершения, импортировать файл обратно в </t>
    </r>
    <r>
      <rPr>
        <i/>
        <sz val="14"/>
        <color theme="1"/>
        <rFont val="Calibri"/>
        <family val="2"/>
        <charset val="204"/>
        <scheme val="minor"/>
      </rPr>
      <t>c.mask</t>
    </r>
    <r>
      <rPr>
        <sz val="14"/>
        <color theme="1"/>
        <rFont val="Calibri"/>
        <family val="2"/>
        <charset val="204"/>
        <scheme val="minor"/>
      </rPr>
      <t>.</t>
    </r>
  </si>
  <si>
    <r>
      <t xml:space="preserve">Если указать в </t>
    </r>
    <r>
      <rPr>
        <i/>
        <sz val="14"/>
        <color theme="1"/>
        <rFont val="Calibri"/>
        <family val="2"/>
        <charset val="204"/>
        <scheme val="minor"/>
      </rPr>
      <t>UserForm</t>
    </r>
    <r>
      <rPr>
        <sz val="14"/>
        <color theme="1"/>
        <rFont val="Calibri"/>
        <family val="2"/>
        <charset val="204"/>
        <scheme val="minor"/>
      </rPr>
      <t xml:space="preserve"> путь к проекту, то </t>
    </r>
    <r>
      <rPr>
        <i/>
        <sz val="14"/>
        <color theme="1"/>
        <rFont val="Calibri"/>
        <family val="2"/>
        <charset val="204"/>
        <scheme val="minor"/>
      </rPr>
      <t>Classes.otsf</t>
    </r>
    <r>
      <rPr>
        <sz val="14"/>
        <color theme="1"/>
        <rFont val="Calibri"/>
        <family val="2"/>
        <charset val="204"/>
        <scheme val="minor"/>
      </rPr>
      <t xml:space="preserve"> берется напрямую из своей папки, 
без необходимости копирования.</t>
    </r>
  </si>
  <si>
    <r>
      <t xml:space="preserve">При наличии файла </t>
    </r>
    <r>
      <rPr>
        <i/>
        <sz val="14"/>
        <color theme="1"/>
        <rFont val="Calibri"/>
        <family val="2"/>
        <charset val="204"/>
        <scheme val="minor"/>
      </rPr>
      <t>Classes.otsf</t>
    </r>
    <r>
      <rPr>
        <sz val="14"/>
        <color theme="1"/>
        <rFont val="Calibri"/>
        <family val="2"/>
        <charset val="204"/>
        <scheme val="minor"/>
      </rPr>
      <t xml:space="preserve"> в каталоге с </t>
    </r>
    <r>
      <rPr>
        <i/>
        <sz val="14"/>
        <color theme="1"/>
        <rFont val="Calibri"/>
        <family val="2"/>
        <charset val="204"/>
        <scheme val="minor"/>
      </rPr>
      <t>Universal_Параметры</t>
    </r>
    <r>
      <rPr>
        <sz val="14"/>
        <color theme="1"/>
        <rFont val="Calibri"/>
        <family val="2"/>
        <charset val="204"/>
        <scheme val="minor"/>
      </rPr>
      <t xml:space="preserve"> - данные заносятся </t>
    </r>
    <r>
      <rPr>
        <u/>
        <sz val="14"/>
        <color theme="1"/>
        <rFont val="Calibri"/>
        <family val="2"/>
        <charset val="204"/>
        <scheme val="minor"/>
      </rPr>
      <t>автоматически!</t>
    </r>
  </si>
  <si>
    <r>
      <t xml:space="preserve">В конце работы макроса данные с </t>
    </r>
    <r>
      <rPr>
        <i/>
        <sz val="14"/>
        <color theme="1"/>
        <rFont val="Calibri"/>
        <family val="2"/>
        <charset val="204"/>
        <scheme val="minor"/>
      </rPr>
      <t>PREPARE_1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u/>
        <sz val="14"/>
        <color theme="1"/>
        <rFont val="Calibri"/>
        <family val="2"/>
        <charset val="204"/>
        <scheme val="minor"/>
      </rPr>
      <t>автоматически копируется в буфер обмена</t>
    </r>
    <r>
      <rPr>
        <sz val="14"/>
        <color theme="1"/>
        <rFont val="Calibri"/>
        <family val="2"/>
        <charset val="204"/>
        <scheme val="minor"/>
      </rPr>
      <t>.</t>
    </r>
  </si>
  <si>
    <r>
      <t xml:space="preserve">Данные с вкладки </t>
    </r>
    <r>
      <rPr>
        <b/>
        <i/>
        <sz val="14"/>
        <color theme="1"/>
        <rFont val="Calibri"/>
        <family val="2"/>
        <charset val="204"/>
        <scheme val="minor"/>
      </rPr>
      <t>PREPARE</t>
    </r>
    <r>
      <rPr>
        <sz val="14"/>
        <color theme="1"/>
        <rFont val="Calibri"/>
        <family val="2"/>
        <charset val="204"/>
        <scheme val="minor"/>
      </rPr>
      <t xml:space="preserve"> копируются в </t>
    </r>
    <r>
      <rPr>
        <b/>
        <i/>
        <sz val="14"/>
        <color theme="1"/>
        <rFont val="Calibri"/>
        <family val="2"/>
        <charset val="204"/>
        <scheme val="minor"/>
      </rPr>
      <t>c.strategy UNIVERSAL: Prepare_1</t>
    </r>
    <r>
      <rPr>
        <sz val="14"/>
        <color theme="1"/>
        <rFont val="Calibri"/>
        <family val="2"/>
        <charset val="204"/>
        <scheme val="minor"/>
      </rPr>
      <t xml:space="preserve"> и </t>
    </r>
    <r>
      <rPr>
        <b/>
        <i/>
        <sz val="14"/>
        <color theme="1"/>
        <rFont val="Calibri"/>
        <family val="2"/>
        <charset val="204"/>
        <scheme val="minor"/>
      </rPr>
      <t>Prepare_2</t>
    </r>
  </si>
  <si>
    <t>и некоторых предустановок (в макросе).</t>
  </si>
  <si>
    <r>
      <t>При наличии файла</t>
    </r>
    <r>
      <rPr>
        <i/>
        <sz val="14"/>
        <color theme="1"/>
        <rFont val="Calibri"/>
        <family val="2"/>
        <charset val="204"/>
        <scheme val="minor"/>
      </rPr>
      <t xml:space="preserve"> DataTypes.xml</t>
    </r>
    <r>
      <rPr>
        <sz val="14"/>
        <color theme="1"/>
        <rFont val="Calibri"/>
        <family val="2"/>
        <charset val="204"/>
        <scheme val="minor"/>
      </rPr>
      <t xml:space="preserve"> в каталоге с </t>
    </r>
    <r>
      <rPr>
        <i/>
        <sz val="14"/>
        <color theme="1"/>
        <rFont val="Calibri"/>
        <family val="2"/>
        <charset val="204"/>
        <scheme val="minor"/>
      </rPr>
      <t>Universal_Параметры</t>
    </r>
    <r>
      <rPr>
        <sz val="14"/>
        <color theme="1"/>
        <rFont val="Calibri"/>
        <family val="2"/>
        <charset val="204"/>
        <scheme val="minor"/>
      </rPr>
      <t xml:space="preserve"> - данные заносятся </t>
    </r>
    <r>
      <rPr>
        <u/>
        <sz val="14"/>
        <color theme="1"/>
        <rFont val="Calibri"/>
        <family val="2"/>
        <charset val="204"/>
        <scheme val="minor"/>
      </rPr>
      <t>автоматически!</t>
    </r>
  </si>
  <si>
    <r>
      <rPr>
        <i/>
        <sz val="14"/>
        <color theme="1"/>
        <rFont val="Calibri"/>
        <family val="2"/>
        <charset val="204"/>
        <scheme val="minor"/>
      </rPr>
      <t>DataTypes.xml -</t>
    </r>
    <r>
      <rPr>
        <sz val="14"/>
        <color theme="1"/>
        <rFont val="Calibri"/>
        <family val="2"/>
        <charset val="204"/>
        <scheme val="minor"/>
      </rPr>
      <t xml:space="preserve"> экспорт </t>
    </r>
    <r>
      <rPr>
        <i/>
        <sz val="14"/>
        <color theme="1"/>
        <rFont val="Calibri"/>
        <family val="2"/>
        <charset val="204"/>
        <scheme val="minor"/>
      </rPr>
      <t>DataTypes</t>
    </r>
    <r>
      <rPr>
        <sz val="14"/>
        <color theme="1"/>
        <rFont val="Calibri"/>
        <family val="2"/>
        <charset val="204"/>
        <scheme val="minor"/>
      </rPr>
      <t xml:space="preserve"> из </t>
    </r>
    <r>
      <rPr>
        <i/>
        <sz val="14"/>
        <color theme="1"/>
        <rFont val="Calibri"/>
        <family val="2"/>
        <charset val="204"/>
        <scheme val="minor"/>
      </rPr>
      <t>c.strategy</t>
    </r>
    <r>
      <rPr>
        <sz val="14"/>
        <color theme="1"/>
        <rFont val="Calibri"/>
        <family val="2"/>
        <charset val="204"/>
        <scheme val="minor"/>
      </rPr>
      <t>. Для применения необходимо импортировать.</t>
    </r>
  </si>
  <si>
    <r>
      <t xml:space="preserve">Если </t>
    </r>
    <r>
      <rPr>
        <i/>
        <sz val="14"/>
        <color theme="1"/>
        <rFont val="Calibri"/>
        <family val="2"/>
        <charset val="204"/>
        <scheme val="minor"/>
      </rPr>
      <t>Define</t>
    </r>
    <r>
      <rPr>
        <sz val="14"/>
        <color theme="1"/>
        <rFont val="Calibri"/>
        <family val="2"/>
        <charset val="204"/>
        <scheme val="minor"/>
      </rPr>
      <t xml:space="preserve"> word отсутствует - он ДОБАВЛЯЕТСЯ!</t>
    </r>
  </si>
  <si>
    <r>
      <t xml:space="preserve">Обновлять при импорте нужно </t>
    </r>
    <r>
      <rPr>
        <i/>
        <sz val="14"/>
        <color theme="1"/>
        <rFont val="Calibri"/>
        <family val="2"/>
        <charset val="204"/>
        <scheme val="minor"/>
      </rPr>
      <t>Arrays</t>
    </r>
    <r>
      <rPr>
        <sz val="14"/>
        <color theme="1"/>
        <rFont val="Calibri"/>
        <family val="2"/>
        <charset val="204"/>
        <scheme val="minor"/>
      </rPr>
      <t xml:space="preserve"> и </t>
    </r>
    <r>
      <rPr>
        <i/>
        <sz val="14"/>
        <color theme="1"/>
        <rFont val="Calibri"/>
        <family val="2"/>
        <charset val="204"/>
        <scheme val="minor"/>
      </rPr>
      <t>Defined Word</t>
    </r>
    <r>
      <rPr>
        <sz val="14"/>
        <color theme="1"/>
        <rFont val="Calibri"/>
        <family val="2"/>
        <charset val="204"/>
        <scheme val="minor"/>
      </rPr>
      <t xml:space="preserve">. 
Лучше все скопом: галочку </t>
    </r>
    <r>
      <rPr>
        <i/>
        <sz val="14"/>
        <color theme="1"/>
        <rFont val="Calibri"/>
        <family val="2"/>
        <charset val="204"/>
        <scheme val="minor"/>
      </rPr>
      <t>Import</t>
    </r>
    <r>
      <rPr>
        <sz val="14"/>
        <color theme="1"/>
        <rFont val="Calibri"/>
        <family val="2"/>
        <charset val="204"/>
        <scheme val="minor"/>
      </rPr>
      <t xml:space="preserve"> снять и снова поставить.</t>
    </r>
  </si>
  <si>
    <r>
      <t xml:space="preserve">Списки для классов </t>
    </r>
    <r>
      <rPr>
        <i/>
        <sz val="14"/>
        <color theme="1"/>
        <rFont val="Calibri"/>
        <family val="2"/>
        <charset val="204"/>
        <scheme val="minor"/>
      </rPr>
      <t>(ResourceUsedOnInt)</t>
    </r>
    <r>
      <rPr>
        <sz val="14"/>
        <color theme="1"/>
        <rFont val="Calibri"/>
        <family val="2"/>
        <charset val="204"/>
        <scheme val="minor"/>
      </rPr>
      <t xml:space="preserve"> обновляем через импорт/экспорт Translate.xls</t>
    </r>
  </si>
  <si>
    <t>Описание вкладок:</t>
  </si>
  <si>
    <t>PARAMETERS:</t>
  </si>
  <si>
    <t xml:space="preserve"> - содержит исходные данные параметров.</t>
  </si>
  <si>
    <r>
      <t xml:space="preserve">После исполнения макроса импортировать </t>
    </r>
    <r>
      <rPr>
        <i/>
        <sz val="14"/>
        <color theme="1"/>
        <rFont val="Calibri"/>
        <family val="2"/>
        <charset val="204"/>
        <scheme val="minor"/>
      </rPr>
      <t>DataTypes</t>
    </r>
    <r>
      <rPr>
        <sz val="14"/>
        <color theme="1"/>
        <rFont val="Calibri"/>
        <family val="2"/>
        <charset val="204"/>
        <scheme val="minor"/>
      </rPr>
      <t xml:space="preserve"> обратно в </t>
    </r>
    <r>
      <rPr>
        <i/>
        <sz val="14"/>
        <color theme="1"/>
        <rFont val="Calibri"/>
        <family val="2"/>
        <charset val="204"/>
        <scheme val="minor"/>
      </rPr>
      <t xml:space="preserve">c.strategy. 
</t>
    </r>
    <r>
      <rPr>
        <sz val="14"/>
        <color theme="1"/>
        <rFont val="Calibri"/>
        <family val="2"/>
        <charset val="204"/>
        <scheme val="minor"/>
      </rPr>
      <t/>
    </r>
  </si>
  <si>
    <t>А Classes.otsf  обратно в свою папку.</t>
  </si>
  <si>
    <t>Поместить в папку с Universal_Параметры и запустить макрос, сняв галочку с "Не обновлять Variables.xml".</t>
  </si>
  <si>
    <r>
      <t xml:space="preserve">Если были изменения в количестве параметров, то необходимо экспортировать </t>
    </r>
    <r>
      <rPr>
        <i/>
        <sz val="14"/>
        <color theme="1"/>
        <rFont val="Calibri"/>
        <family val="2"/>
        <charset val="204"/>
        <scheme val="minor"/>
      </rPr>
      <t xml:space="preserve">Variables.xml </t>
    </r>
    <r>
      <rPr>
        <sz val="14"/>
        <color theme="1"/>
        <rFont val="Calibri"/>
        <family val="2"/>
        <charset val="204"/>
        <scheme val="minor"/>
      </rPr>
      <t/>
    </r>
  </si>
  <si>
    <t>(Global Variables -&gt; Export XML).</t>
  </si>
  <si>
    <t>PBand</t>
  </si>
  <si>
    <t>Ti</t>
  </si>
  <si>
    <t>DeadBand</t>
  </si>
  <si>
    <t>RampStep</t>
  </si>
  <si>
    <t>Td</t>
  </si>
  <si>
    <t>Delay</t>
  </si>
  <si>
    <t>Order</t>
  </si>
  <si>
    <t>Link_PBand</t>
  </si>
  <si>
    <t>Link_Ti</t>
  </si>
  <si>
    <t>Link_DeadBand</t>
  </si>
  <si>
    <t>Link_RampStep</t>
  </si>
  <si>
    <t>Link_Td</t>
  </si>
  <si>
    <t>Link_Delay</t>
  </si>
  <si>
    <t>Link_Device</t>
  </si>
  <si>
    <t>ARR_SEQ_REAL</t>
  </si>
  <si>
    <t>ARR_SEQ_UINT</t>
  </si>
  <si>
    <t>ARR_SEQ_DINT</t>
  </si>
  <si>
    <t>Время интегрирования для ПИД-регулятора последовательности</t>
  </si>
  <si>
    <t>Зона пропорциональности ПИД-регулятора последовательности</t>
  </si>
  <si>
    <t>Зона нечувствительности для ПИД-регулятора последовательности</t>
  </si>
  <si>
    <t>Скорость выхода на уставку  последовательности</t>
  </si>
  <si>
    <t>Время дифференцирования для ПИД-регулятора последовательности</t>
  </si>
  <si>
    <t>Задержка переключения последовательности</t>
  </si>
  <si>
    <t>Порядок следования последовательностей. Содержит ссылку на Link_Device.</t>
  </si>
  <si>
    <t>Ссылка на параметр PBand в массиве параметров</t>
  </si>
  <si>
    <t>Ссылка на параметр Ti в массиве параметров</t>
  </si>
  <si>
    <t>Ссылка на параметр DeadBand в массиве параметров</t>
  </si>
  <si>
    <t>Ссылка на параметр RampStep в массиве параметров</t>
  </si>
  <si>
    <t>Ссылка на параметр Td в массиве параметров</t>
  </si>
  <si>
    <t>Ссылка на параметр Delay в массиве параметров</t>
  </si>
  <si>
    <t>Ссылка на тип оборудования в последовательности</t>
  </si>
  <si>
    <r>
      <t xml:space="preserve">Импортировать </t>
    </r>
    <r>
      <rPr>
        <i/>
        <sz val="14"/>
        <color theme="1"/>
        <rFont val="Calibri"/>
        <family val="2"/>
        <charset val="204"/>
        <scheme val="minor"/>
      </rPr>
      <t xml:space="preserve">Variables.xml </t>
    </r>
    <r>
      <rPr>
        <sz val="14"/>
        <color theme="1"/>
        <rFont val="Calibri"/>
        <family val="2"/>
        <charset val="204"/>
        <scheme val="minor"/>
      </rPr>
      <t xml:space="preserve">в </t>
    </r>
    <r>
      <rPr>
        <i/>
        <sz val="14"/>
        <color theme="1"/>
        <rFont val="Calibri"/>
        <family val="2"/>
        <charset val="204"/>
        <scheme val="minor"/>
      </rPr>
      <t xml:space="preserve">c.strategy. </t>
    </r>
    <r>
      <rPr>
        <b/>
        <i/>
        <u/>
        <sz val="14"/>
        <color theme="1"/>
        <rFont val="Calibri"/>
        <family val="2"/>
        <charset val="204"/>
        <scheme val="minor"/>
      </rPr>
      <t xml:space="preserve">Обязательно! </t>
    </r>
    <r>
      <rPr>
        <b/>
        <i/>
        <sz val="14"/>
        <color theme="1"/>
        <rFont val="Calibri"/>
        <family val="2"/>
        <charset val="204"/>
        <scheme val="minor"/>
      </rPr>
      <t>В DEV Editor сделать Reset initial values from c.strategy</t>
    </r>
  </si>
  <si>
    <t>Взаимодействие с дисплеем PGD</t>
  </si>
  <si>
    <t>1. Основные маски имеют порядковый номер в Universal_Параметры/MASKS_ID. Имеют ворфат defined names: DF_MID_* (MID = MASK ID).</t>
  </si>
  <si>
    <t xml:space="preserve">2. Управление масками через c.strategy/MaskMng. </t>
  </si>
  <si>
    <t>3. При переходе на маску обновляется Display.MaskID. В зависимости от него в MaskMng меняется CASE.</t>
  </si>
  <si>
    <t>4. За взаимодействие с дисплеем отвечает структура Display.</t>
  </si>
  <si>
    <t>en_UoM</t>
  </si>
  <si>
    <t>разрешение на отображение единиц измерения</t>
  </si>
  <si>
    <t>value_DINT</t>
  </si>
  <si>
    <t>DINT</t>
  </si>
  <si>
    <t>отображение целочисленных значений (32 бит)</t>
  </si>
  <si>
    <t>Index</t>
  </si>
  <si>
    <t>текущий индекс</t>
  </si>
  <si>
    <t>Display =&gt;</t>
  </si>
  <si>
    <t>г/кг</t>
  </si>
  <si>
    <t>8 - мА, 9 - В, 10 - ppm, 11 - Па, 12 - г/кг</t>
  </si>
  <si>
    <t>Version 1.1 Alarms RepoVersion 3.6.4</t>
  </si>
  <si>
    <t>Name</t>
  </si>
  <si>
    <t>Type</t>
  </si>
  <si>
    <t>Edge</t>
  </si>
  <si>
    <t>Description</t>
  </si>
  <si>
    <t>CounterMax</t>
  </si>
  <si>
    <t>TimeValue</t>
  </si>
  <si>
    <t>StorVar1</t>
  </si>
  <si>
    <t>StorVar2</t>
  </si>
  <si>
    <t>Al_retain</t>
  </si>
  <si>
    <t>User reset</t>
  </si>
  <si>
    <t>Positive</t>
  </si>
  <si>
    <t>MemWritingsNo</t>
  </si>
  <si>
    <t>Al_Err_retain_write</t>
  </si>
  <si>
    <t>FLR_FanSupplyTK</t>
  </si>
  <si>
    <t>Auto reset until counter</t>
  </si>
  <si>
    <t>FLR_FanExhTK</t>
  </si>
  <si>
    <t>FLR_PumpTK</t>
  </si>
  <si>
    <t>FLR_Fire</t>
  </si>
  <si>
    <t>FLR_PreHeating</t>
  </si>
  <si>
    <t>Ошибка преднагрева. Недостижение целевой температуры воды.</t>
  </si>
  <si>
    <t>FLR_FreezeWater</t>
  </si>
  <si>
    <t>Par_Wp05</t>
  </si>
  <si>
    <t>FLR_FreezeTZ</t>
  </si>
  <si>
    <t>FLR_COOL_Total</t>
  </si>
  <si>
    <t>Auto reset</t>
  </si>
  <si>
    <t>FLR_DX_HPComp1</t>
  </si>
  <si>
    <t>FLR_DX_HPComp2</t>
  </si>
  <si>
    <t>FLR_DX_HPComp3</t>
  </si>
  <si>
    <t>FLR_DX_LPComp1</t>
  </si>
  <si>
    <t>FLR_DX_LPComp2</t>
  </si>
  <si>
    <t>FLR_DX_LPComp3</t>
  </si>
  <si>
    <t>FLR_DX_CTComp1</t>
  </si>
  <si>
    <t>FLR_DX_CTComp2</t>
  </si>
  <si>
    <t>FLR_DX_CTComp3</t>
  </si>
  <si>
    <t>FLR_DX_HPDVD1</t>
  </si>
  <si>
    <t>Alarms_Dt1214</t>
  </si>
  <si>
    <t>FLR_DX_HPDVD2</t>
  </si>
  <si>
    <t>FLR_DX_LPDND</t>
  </si>
  <si>
    <t>Alarms_Dt1213</t>
  </si>
  <si>
    <t>FLR_DX_SFComp1</t>
  </si>
  <si>
    <t>FLR_DX_SFComp2</t>
  </si>
  <si>
    <t>FLR_DX_SFComp3</t>
  </si>
  <si>
    <t>FLR_DX_KVPower</t>
  </si>
  <si>
    <t>FLR_Disc_CTRL</t>
  </si>
  <si>
    <t>FLR_Disc_TOP</t>
  </si>
  <si>
    <t>FLR_Disc_CPCOE</t>
  </si>
  <si>
    <t>FLR_Conf_CPCOE</t>
  </si>
  <si>
    <t>FLR_DX_SensorTw</t>
  </si>
  <si>
    <t>FLR_DX_SensorHPDVD1</t>
  </si>
  <si>
    <t>FLR_DX_SensorHPDVD2</t>
  </si>
  <si>
    <t>FLR_DX_SensorLPDND</t>
  </si>
  <si>
    <t>FLR_SensorTout</t>
  </si>
  <si>
    <t>FLR_SensorTsu</t>
  </si>
  <si>
    <t>FLR_SensorTroom</t>
  </si>
  <si>
    <t>FLR_SensorHroom</t>
  </si>
  <si>
    <t>FLR_SensorThru</t>
  </si>
  <si>
    <t>FLR_SensorCO2</t>
  </si>
  <si>
    <t>FLR_SensorVOC</t>
  </si>
  <si>
    <t>FLR_SensorTsuPre</t>
  </si>
  <si>
    <t>FLR_SensorTcase</t>
  </si>
  <si>
    <t>FLR_DXcool1</t>
  </si>
  <si>
    <t>Par_Cp01</t>
  </si>
  <si>
    <t>FLR_DXcool2</t>
  </si>
  <si>
    <t>WRN_FilterSuMain</t>
  </si>
  <si>
    <t>WRN_FilterSuAux</t>
  </si>
  <si>
    <t>WRN_FilterExh</t>
  </si>
  <si>
    <t>FLR_EHeat</t>
  </si>
  <si>
    <t>FLR_FWMismatch</t>
  </si>
  <si>
    <t>FLR_CoolTZ</t>
  </si>
  <si>
    <t>WRN_SensorTroom</t>
  </si>
  <si>
    <t>FLR_GateHeater</t>
  </si>
  <si>
    <t>WRN_ManualMode</t>
  </si>
  <si>
    <t>FLR_DX_OilReg_Comp1</t>
  </si>
  <si>
    <t>FLR_DX_OilReg_Comp2</t>
  </si>
  <si>
    <t>FLR_DX_OilReg_Comp3</t>
  </si>
  <si>
    <t>FLR_EVD</t>
  </si>
  <si>
    <t>FLR_SensorTsuAux</t>
  </si>
  <si>
    <t>FLR_Disc_CPCOE_1</t>
  </si>
  <si>
    <t>FLR_Disc_CPCOE_2</t>
  </si>
  <si>
    <t>FLR_Disc_CPCOE_3</t>
  </si>
  <si>
    <t>FLR_Disc_CPCOE_4</t>
  </si>
  <si>
    <t>FLR_Disc_CPCOE_5</t>
  </si>
  <si>
    <t>FLR_Disc_CPCOE_6</t>
  </si>
  <si>
    <t>FLR_HRUrotor</t>
  </si>
  <si>
    <t>FLR#00</t>
  </si>
  <si>
    <t>FLR#01</t>
  </si>
  <si>
    <t>FLR#02</t>
  </si>
  <si>
    <t>FLR#03</t>
  </si>
  <si>
    <t>FLR#04</t>
  </si>
  <si>
    <t>FLR#05</t>
  </si>
  <si>
    <t>FLR#06</t>
  </si>
  <si>
    <t>FLR#07</t>
  </si>
  <si>
    <t>FLR#08</t>
  </si>
  <si>
    <t>FLR#09</t>
  </si>
  <si>
    <t>FLR#10</t>
  </si>
  <si>
    <t>FLR#11</t>
  </si>
  <si>
    <t>FLR#12</t>
  </si>
  <si>
    <t>FLR#13</t>
  </si>
  <si>
    <t>FLR#14</t>
  </si>
  <si>
    <t>FLR#15</t>
  </si>
  <si>
    <t>FLR#16</t>
  </si>
  <si>
    <t>FLR#17</t>
  </si>
  <si>
    <t>FLR#18</t>
  </si>
  <si>
    <t>FLR#19</t>
  </si>
  <si>
    <t>FLR#20</t>
  </si>
  <si>
    <t>FLR#21</t>
  </si>
  <si>
    <t>FLR#22</t>
  </si>
  <si>
    <t>FLR#23</t>
  </si>
  <si>
    <t>FLR#24</t>
  </si>
  <si>
    <t>FLR#25</t>
  </si>
  <si>
    <t>FLR#26</t>
  </si>
  <si>
    <t>FLR#27</t>
  </si>
  <si>
    <t>FLR#28</t>
  </si>
  <si>
    <t>FLR#29</t>
  </si>
  <si>
    <t>FLR#30</t>
  </si>
  <si>
    <t>FLR#31</t>
  </si>
  <si>
    <t>FLR#32</t>
  </si>
  <si>
    <t>FLR#33</t>
  </si>
  <si>
    <t>FLR#34</t>
  </si>
  <si>
    <t>FLR#35</t>
  </si>
  <si>
    <t>FLR#36</t>
  </si>
  <si>
    <t>FLR#37</t>
  </si>
  <si>
    <t>FLR#38</t>
  </si>
  <si>
    <t>FLR#39</t>
  </si>
  <si>
    <t>FLR#40</t>
  </si>
  <si>
    <t>FLR#41</t>
  </si>
  <si>
    <t>FLR#42</t>
  </si>
  <si>
    <t>FLR#43</t>
  </si>
  <si>
    <t>FLR#44</t>
  </si>
  <si>
    <t>FLR#45</t>
  </si>
  <si>
    <t>FLR#46</t>
  </si>
  <si>
    <t>FLR#47</t>
  </si>
  <si>
    <t>FLR#48</t>
  </si>
  <si>
    <t>FLR#49</t>
  </si>
  <si>
    <t>FLR#50</t>
  </si>
  <si>
    <t>FLR#51</t>
  </si>
  <si>
    <t>FLR#52</t>
  </si>
  <si>
    <t>FLR#53</t>
  </si>
  <si>
    <t>FLR#54</t>
  </si>
  <si>
    <t>FLR#55</t>
  </si>
  <si>
    <t>FLR#56</t>
  </si>
  <si>
    <t>FLR#57</t>
  </si>
  <si>
    <t>FLR#59</t>
  </si>
  <si>
    <t>FLR#60</t>
  </si>
  <si>
    <t>FLR#61</t>
  </si>
  <si>
    <t>FLR#62</t>
  </si>
  <si>
    <t>FLR#63</t>
  </si>
  <si>
    <t>FLR#64</t>
  </si>
  <si>
    <t>FLR#65</t>
  </si>
  <si>
    <t>FLR#66</t>
  </si>
  <si>
    <t>Срабатывание автоматического выключателя компрессора 3</t>
  </si>
  <si>
    <t>Ошибка подсчета числа записей в постоянную память.</t>
  </si>
  <si>
    <t>Ошибка записи в постоянную память.</t>
  </si>
  <si>
    <t>Авария приточного вентилятора.</t>
  </si>
  <si>
    <t>Авария вытяжного вентилятора.</t>
  </si>
  <si>
    <t>Авария насоса.</t>
  </si>
  <si>
    <t>Сигнал 'Пожар'.</t>
  </si>
  <si>
    <t>Снижение температуры воды до опасного минимума по датчику Tw.</t>
  </si>
  <si>
    <t>Авария насоса/капиллярного термостата.</t>
  </si>
  <si>
    <t>Полный отказ ХМ.</t>
  </si>
  <si>
    <t>Превышение давления линии нагнетания компрессора 1 (реле давления).</t>
  </si>
  <si>
    <t>Превышение давления линии нагнетания компрессора 2 (реле давления).</t>
  </si>
  <si>
    <t>Превышение давления линии нагнетания компрессора 3 (реле давления).</t>
  </si>
  <si>
    <t>Снижение давления линии всасывания компрессора 1 (реле давления).</t>
  </si>
  <si>
    <t>Снижение давления линии всасывания компрессора 2 (реле давления).</t>
  </si>
  <si>
    <t>Снижение давления линии всасывания компрессора 3 (реле давления).</t>
  </si>
  <si>
    <t>Перегрев компрессора 1 по термостату линии нагнетания.</t>
  </si>
  <si>
    <t>Перегрев компрессора 2 по термостату линии нагнетания.</t>
  </si>
  <si>
    <t>Перегрев компрессора 3 по термостату линии нагнетания.</t>
  </si>
  <si>
    <t>Превышение давления по ДВД1 (уставка).</t>
  </si>
  <si>
    <t>Превышение давления по ДВД2 (уставка).</t>
  </si>
  <si>
    <t>Снижение давления по ДНД (уставка).</t>
  </si>
  <si>
    <t>Срабатывание автоматического выключателя компрессора 1.</t>
  </si>
  <si>
    <t>Срабатывание автоматического выключателя компрессора 2.</t>
  </si>
  <si>
    <t>Авария по реле контроля фаз.</t>
  </si>
  <si>
    <t>Потеря связи со шкафом управления.</t>
  </si>
  <si>
    <t>Потеря связи со шкафом установки.</t>
  </si>
  <si>
    <t>Потеря связи с модулем расширения шкафа D*-TOP.</t>
  </si>
  <si>
    <t>Неисправность модуля расширения шкафа D*-TOP.</t>
  </si>
  <si>
    <t>Ошибка (обрыв или КЗ) датчика температуры обратной воды.</t>
  </si>
  <si>
    <t>Ошибка (обрыв или КЗ) датчика высокого давления 1.</t>
  </si>
  <si>
    <t>Ошибка (обрыв или КЗ) датчика высокого давления 2.</t>
  </si>
  <si>
    <t>Ошибка (обрыв или КЗ) датчика низкого давления.</t>
  </si>
  <si>
    <t>Ошибка (обрыв или КЗ) датчика наружной температуры.</t>
  </si>
  <si>
    <t>Ошибка (обрыв или КЗ) датчика приточной температуры.</t>
  </si>
  <si>
    <t>Ошибка (обрыв или КЗ) датчика температуры  вытяжного воздуха ДО рекуператора.</t>
  </si>
  <si>
    <t xml:space="preserve">Ошибка (обрыв или КЗ) датчика влажности  вытяжного воздуха ДО рекуператора. </t>
  </si>
  <si>
    <t>Ошибка (обрыв или КЗ) датчика температуры ПОСЛЕ рекуператора.</t>
  </si>
  <si>
    <t>Ошибка (обрыв или КЗ) датчика концентрации CO2.</t>
  </si>
  <si>
    <t>Ошибка (обрыв или КЗ) датчика концентрации VOC.</t>
  </si>
  <si>
    <t>Ошибка (обрыв или КЗ) датчика температуры после пред.нагревателя.</t>
  </si>
  <si>
    <t>Ошибка (обрыв или КЗ) датчика температуры в шкафу.</t>
  </si>
  <si>
    <t>Авария ККБ контур 1.</t>
  </si>
  <si>
    <t>Авария ККБ контур 2.</t>
  </si>
  <si>
    <t>Засорение основного фильтра приточного воздуха.</t>
  </si>
  <si>
    <t>Засорение предварительного фильтра приточного воздуха.</t>
  </si>
  <si>
    <t>Засорение фильтра вытяжного воздуха.</t>
  </si>
  <si>
    <t>Авария шкафа э/нагрева.</t>
  </si>
  <si>
    <t>Несовпадение версий прошивки контроллеров D*-CTRL и D*-TOP.</t>
  </si>
  <si>
    <t>Авария капиллярного термостата водяного т/о охладителя.</t>
  </si>
  <si>
    <t>Предупреждение (обрыв или КЗ) датчика температуры  вытяжного  воздуха ДО рекуператора.</t>
  </si>
  <si>
    <t>Авария КВУ.</t>
  </si>
  <si>
    <t>Предупреждение: ручной режим.</t>
  </si>
  <si>
    <t>Авария регулятора масла 1.</t>
  </si>
  <si>
    <t>Авария регулятора масла 2.</t>
  </si>
  <si>
    <t>Авария регулятора масла 3.</t>
  </si>
  <si>
    <t>Авария ЭРВ EVD Evolution.</t>
  </si>
  <si>
    <t>Ошибка (обрыв или КЗ) датчика температуры после доп.нагревателя.</t>
  </si>
  <si>
    <t>Потеря связи с модулем расширения 1.</t>
  </si>
  <si>
    <t>Потеря связи с модулем расширения 2.</t>
  </si>
  <si>
    <t>Отказ оборудования регенератора.</t>
  </si>
  <si>
    <t>Потеря связи с модулем расширения 6.</t>
  </si>
  <si>
    <t>Потеря связи с модулем расширения 5.</t>
  </si>
  <si>
    <t>Потеря связи с модулем расширения 4.</t>
  </si>
  <si>
    <t>Потеря связи с модулем расширения 3.</t>
  </si>
  <si>
    <t>13 - мкСм/см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</si>
</sst>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i/>
      <u/>
      <sz val="11"/>
      <color theme="10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u/>
      <sz val="14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i/>
      <u/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i/>
      <u/>
      <sz val="14"/>
      <color theme="1"/>
      <name val="Calibri"/>
      <family val="2"/>
      <charset val="20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92D050"/>
      </left>
      <right style="medium">
        <color rgb="FF92D05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rgb="FF92D050"/>
      </left>
      <right style="medium">
        <color rgb="FF92D050"/>
      </right>
      <top style="thin">
        <color auto="1"/>
      </top>
      <bottom style="medium">
        <color rgb="FF92D05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0" xfId="0" applyFont="1" applyBorder="1"/>
    <xf numFmtId="0" fontId="1" fillId="0" borderId="11" xfId="0" quotePrefix="1" applyFont="1" applyBorder="1" applyAlignment="1">
      <alignment horizontal="center" vertical="center"/>
    </xf>
    <xf numFmtId="0" fontId="7" fillId="3" borderId="10" xfId="1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/>
    <xf numFmtId="0" fontId="6" fillId="3" borderId="10" xfId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vertical="center"/>
    </xf>
    <xf numFmtId="0" fontId="1" fillId="3" borderId="12" xfId="0" applyFont="1" applyFill="1" applyBorder="1" applyAlignment="1">
      <alignment horizontal="center" vertical="center"/>
    </xf>
    <xf numFmtId="0" fontId="6" fillId="0" borderId="10" xfId="1" applyBorder="1" applyAlignment="1">
      <alignment horizontal="center" vertical="center"/>
    </xf>
    <xf numFmtId="0" fontId="6" fillId="3" borderId="13" xfId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right"/>
    </xf>
    <xf numFmtId="0" fontId="3" fillId="4" borderId="15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6" borderId="15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1" fillId="7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right" vertical="center"/>
    </xf>
    <xf numFmtId="0" fontId="1" fillId="9" borderId="5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3" fillId="0" borderId="0" xfId="0" applyFont="1" applyBorder="1"/>
    <xf numFmtId="0" fontId="1" fillId="0" borderId="17" xfId="0" applyFont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3" fillId="13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right" vertical="center"/>
    </xf>
    <xf numFmtId="0" fontId="1" fillId="12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center" vertical="center"/>
    </xf>
    <xf numFmtId="0" fontId="3" fillId="18" borderId="15" xfId="0" applyFont="1" applyFill="1" applyBorder="1" applyAlignment="1">
      <alignment horizontal="center" vertical="center"/>
    </xf>
    <xf numFmtId="0" fontId="1" fillId="19" borderId="5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0" fontId="1" fillId="19" borderId="8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right" vertical="center"/>
    </xf>
    <xf numFmtId="0" fontId="1" fillId="19" borderId="20" xfId="0" quotePrefix="1" applyFont="1" applyFill="1" applyBorder="1" applyAlignment="1">
      <alignment horizontal="center" vertical="center"/>
    </xf>
    <xf numFmtId="0" fontId="1" fillId="20" borderId="16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9" borderId="13" xfId="0" applyFont="1" applyFill="1" applyBorder="1" applyAlignment="1">
      <alignment horizontal="center" vertical="center"/>
    </xf>
    <xf numFmtId="0" fontId="1" fillId="12" borderId="21" xfId="0" applyFont="1" applyFill="1" applyBorder="1" applyAlignment="1">
      <alignment horizontal="center" vertical="center"/>
    </xf>
    <xf numFmtId="0" fontId="3" fillId="2" borderId="24" xfId="0" applyFont="1" applyFill="1" applyBorder="1" applyAlignment="1"/>
    <xf numFmtId="0" fontId="1" fillId="0" borderId="25" xfId="0" applyFont="1" applyBorder="1"/>
    <xf numFmtId="0" fontId="1" fillId="0" borderId="26" xfId="0" applyFont="1" applyBorder="1"/>
    <xf numFmtId="0" fontId="3" fillId="0" borderId="17" xfId="0" applyFont="1" applyBorder="1" applyAlignment="1">
      <alignment horizontal="center" vertical="center"/>
    </xf>
    <xf numFmtId="0" fontId="1" fillId="0" borderId="27" xfId="0" applyFont="1" applyBorder="1"/>
    <xf numFmtId="0" fontId="2" fillId="0" borderId="0" xfId="0" applyFont="1"/>
    <xf numFmtId="0" fontId="1" fillId="0" borderId="0" xfId="0" applyFont="1" applyBorder="1" applyAlignment="1">
      <alignment horizontal="center" vertical="center" wrapText="1"/>
    </xf>
    <xf numFmtId="0" fontId="1" fillId="0" borderId="0" xfId="0" quotePrefix="1" applyFont="1" applyBorder="1"/>
    <xf numFmtId="0" fontId="1" fillId="5" borderId="5" xfId="0" applyFont="1" applyFill="1" applyBorder="1" applyAlignment="1">
      <alignment horizontal="center" vertical="center"/>
    </xf>
    <xf numFmtId="0" fontId="1" fillId="0" borderId="4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/>
    <xf numFmtId="0" fontId="1" fillId="14" borderId="22" xfId="0" applyFont="1" applyFill="1" applyBorder="1"/>
    <xf numFmtId="0" fontId="3" fillId="14" borderId="23" xfId="0" applyFont="1" applyFill="1" applyBorder="1" applyAlignment="1">
      <alignment horizontal="center" vertical="center"/>
    </xf>
    <xf numFmtId="0" fontId="1" fillId="14" borderId="23" xfId="0" applyFont="1" applyFill="1" applyBorder="1"/>
    <xf numFmtId="0" fontId="1" fillId="14" borderId="32" xfId="0" applyFont="1" applyFill="1" applyBorder="1"/>
    <xf numFmtId="0" fontId="1" fillId="14" borderId="33" xfId="0" applyFont="1" applyFill="1" applyBorder="1"/>
    <xf numFmtId="0" fontId="1" fillId="0" borderId="23" xfId="0" applyFont="1" applyBorder="1" applyAlignment="1">
      <alignment horizontal="right"/>
    </xf>
    <xf numFmtId="49" fontId="1" fillId="0" borderId="23" xfId="0" quotePrefix="1" applyNumberFormat="1" applyFont="1" applyBorder="1" applyAlignment="1">
      <alignment horizontal="left" vertical="center"/>
    </xf>
    <xf numFmtId="0" fontId="1" fillId="0" borderId="23" xfId="0" applyFont="1" applyBorder="1"/>
    <xf numFmtId="0" fontId="1" fillId="0" borderId="22" xfId="0" applyFont="1" applyBorder="1"/>
    <xf numFmtId="0" fontId="1" fillId="0" borderId="25" xfId="0" applyFont="1" applyFill="1" applyBorder="1"/>
    <xf numFmtId="49" fontId="1" fillId="0" borderId="0" xfId="0" quotePrefix="1" applyNumberFormat="1" applyFont="1" applyBorder="1" applyAlignment="1">
      <alignment horizontal="left" vertical="center"/>
    </xf>
    <xf numFmtId="49" fontId="1" fillId="0" borderId="0" xfId="0" quotePrefix="1" applyNumberFormat="1" applyFont="1" applyFill="1" applyBorder="1" applyAlignment="1">
      <alignment horizontal="left" vertical="center"/>
    </xf>
    <xf numFmtId="0" fontId="1" fillId="0" borderId="0" xfId="0" quotePrefix="1" applyFont="1"/>
    <xf numFmtId="0" fontId="3" fillId="14" borderId="34" xfId="0" applyFont="1" applyFill="1" applyBorder="1" applyAlignment="1">
      <alignment horizontal="center" vertical="center"/>
    </xf>
    <xf numFmtId="0" fontId="3" fillId="14" borderId="35" xfId="0" applyFont="1" applyFill="1" applyBorder="1" applyAlignment="1">
      <alignment horizontal="center" vertical="center"/>
    </xf>
    <xf numFmtId="0" fontId="3" fillId="14" borderId="36" xfId="0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/>
    </xf>
    <xf numFmtId="0" fontId="3" fillId="22" borderId="7" xfId="0" applyFont="1" applyFill="1" applyBorder="1" applyAlignment="1">
      <alignment horizontal="center" vertical="center" wrapText="1"/>
    </xf>
    <xf numFmtId="0" fontId="3" fillId="22" borderId="16" xfId="0" applyFont="1" applyFill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1" fontId="1" fillId="0" borderId="0" xfId="0" applyNumberFormat="1" applyFont="1" applyBorder="1" applyAlignment="1">
      <alignment horizontal="right"/>
    </xf>
    <xf numFmtId="0" fontId="1" fillId="0" borderId="41" xfId="0" applyFont="1" applyBorder="1" applyAlignment="1">
      <alignment horizontal="center" vertical="center"/>
    </xf>
    <xf numFmtId="0" fontId="1" fillId="0" borderId="1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1" fillId="0" borderId="42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1" fillId="23" borderId="16" xfId="0" applyFont="1" applyFill="1" applyBorder="1"/>
    <xf numFmtId="0" fontId="1" fillId="23" borderId="5" xfId="0" applyFont="1" applyFill="1" applyBorder="1"/>
    <xf numFmtId="0" fontId="1" fillId="0" borderId="8" xfId="0" applyFont="1" applyBorder="1"/>
    <xf numFmtId="0" fontId="1" fillId="24" borderId="16" xfId="0" applyFont="1" applyFill="1" applyBorder="1"/>
    <xf numFmtId="0" fontId="1" fillId="24" borderId="6" xfId="0" applyFont="1" applyFill="1" applyBorder="1"/>
    <xf numFmtId="0" fontId="1" fillId="0" borderId="43" xfId="0" applyFont="1" applyBorder="1"/>
    <xf numFmtId="0" fontId="1" fillId="21" borderId="16" xfId="0" applyFont="1" applyFill="1" applyBorder="1"/>
    <xf numFmtId="0" fontId="1" fillId="21" borderId="5" xfId="0" applyFont="1" applyFill="1" applyBorder="1"/>
    <xf numFmtId="0" fontId="1" fillId="0" borderId="5" xfId="0" applyFont="1" applyFill="1" applyBorder="1"/>
    <xf numFmtId="0" fontId="1" fillId="0" borderId="8" xfId="0" applyFont="1" applyFill="1" applyBorder="1"/>
    <xf numFmtId="0" fontId="1" fillId="0" borderId="44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1" fillId="0" borderId="45" xfId="0" applyFont="1" applyFill="1" applyBorder="1"/>
    <xf numFmtId="0" fontId="2" fillId="0" borderId="5" xfId="0" applyFont="1" applyBorder="1"/>
    <xf numFmtId="0" fontId="1" fillId="0" borderId="13" xfId="0" applyFont="1" applyFill="1" applyBorder="1"/>
    <xf numFmtId="0" fontId="1" fillId="5" borderId="16" xfId="0" applyFont="1" applyFill="1" applyBorder="1"/>
    <xf numFmtId="0" fontId="1" fillId="5" borderId="5" xfId="0" applyFont="1" applyFill="1" applyBorder="1"/>
    <xf numFmtId="0" fontId="1" fillId="0" borderId="46" xfId="0" applyFont="1" applyBorder="1" applyAlignment="1">
      <alignment horizontal="right" vertical="center"/>
    </xf>
    <xf numFmtId="0" fontId="1" fillId="0" borderId="47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16" xfId="0" applyFont="1" applyBorder="1" applyAlignment="1">
      <alignment vertical="center"/>
    </xf>
    <xf numFmtId="0" fontId="2" fillId="0" borderId="0" xfId="0" applyFont="1" applyBorder="1"/>
    <xf numFmtId="0" fontId="1" fillId="0" borderId="6" xfId="0" applyFont="1" applyBorder="1" applyAlignment="1">
      <alignment vertical="center"/>
    </xf>
    <xf numFmtId="0" fontId="1" fillId="0" borderId="46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25" borderId="5" xfId="0" applyFont="1" applyFill="1" applyBorder="1" applyAlignment="1">
      <alignment vertical="center"/>
    </xf>
    <xf numFmtId="0" fontId="1" fillId="15" borderId="5" xfId="0" applyFont="1" applyFill="1" applyBorder="1" applyAlignment="1">
      <alignment vertical="center"/>
    </xf>
    <xf numFmtId="0" fontId="1" fillId="18" borderId="5" xfId="0" applyFont="1" applyFill="1" applyBorder="1" applyAlignment="1">
      <alignment vertical="center"/>
    </xf>
    <xf numFmtId="0" fontId="1" fillId="11" borderId="5" xfId="0" applyFont="1" applyFill="1" applyBorder="1" applyAlignment="1">
      <alignment vertical="center"/>
    </xf>
    <xf numFmtId="0" fontId="1" fillId="26" borderId="5" xfId="0" applyFont="1" applyFill="1" applyBorder="1" applyAlignment="1">
      <alignment vertical="center"/>
    </xf>
    <xf numFmtId="0" fontId="1" fillId="27" borderId="5" xfId="0" applyFont="1" applyFill="1" applyBorder="1" applyAlignment="1">
      <alignment vertical="center"/>
    </xf>
    <xf numFmtId="0" fontId="1" fillId="0" borderId="49" xfId="0" applyFont="1" applyBorder="1" applyAlignment="1">
      <alignment horizontal="center" vertical="center"/>
    </xf>
    <xf numFmtId="0" fontId="1" fillId="27" borderId="50" xfId="0" applyFont="1" applyFill="1" applyBorder="1" applyAlignment="1">
      <alignment vertical="center"/>
    </xf>
    <xf numFmtId="0" fontId="1" fillId="0" borderId="51" xfId="0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right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15" fillId="0" borderId="0" xfId="0" applyFont="1"/>
    <xf numFmtId="49" fontId="9" fillId="0" borderId="0" xfId="0" applyNumberFormat="1" applyFont="1" applyAlignment="1">
      <alignment horizontal="left" vertical="center"/>
    </xf>
    <xf numFmtId="49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wrapText="1"/>
    </xf>
    <xf numFmtId="0" fontId="15" fillId="0" borderId="0" xfId="0" applyFont="1" applyAlignment="1">
      <alignment vertical="center"/>
    </xf>
    <xf numFmtId="0" fontId="10" fillId="0" borderId="0" xfId="0" quotePrefix="1" applyFont="1" applyAlignment="1">
      <alignment vertical="center"/>
    </xf>
    <xf numFmtId="0" fontId="10" fillId="0" borderId="0" xfId="0" applyFont="1" applyAlignment="1">
      <alignment vertical="center"/>
    </xf>
    <xf numFmtId="16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0" fillId="0" borderId="8" xfId="0" applyFont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3" borderId="11" xfId="0" applyFont="1" applyFill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3" borderId="14" xfId="0" applyFont="1" applyFill="1" applyBorder="1" applyAlignment="1">
      <alignment vertical="center"/>
    </xf>
    <xf numFmtId="0" fontId="0" fillId="28" borderId="0" xfId="0" applyFill="1" applyAlignment="1">
      <alignment horizontal="centerContinuous"/>
    </xf>
    <xf numFmtId="0" fontId="9" fillId="28" borderId="0" xfId="0" applyFont="1" applyFill="1" applyAlignment="1">
      <alignment horizontal="centerContinuous"/>
    </xf>
    <xf numFmtId="0" fontId="6" fillId="0" borderId="0" xfId="1"/>
    <xf numFmtId="0" fontId="6" fillId="0" borderId="8" xfId="1" quotePrefix="1" applyBorder="1" applyAlignment="1">
      <alignment horizontal="center" vertical="center"/>
    </xf>
    <xf numFmtId="0" fontId="6" fillId="0" borderId="10" xfId="1" quotePrefix="1" applyBorder="1" applyAlignment="1">
      <alignment horizontal="center" vertical="center"/>
    </xf>
    <xf numFmtId="0" fontId="7" fillId="12" borderId="10" xfId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vertical="center"/>
    </xf>
    <xf numFmtId="0" fontId="1" fillId="3" borderId="13" xfId="0" applyFont="1" applyFill="1" applyBorder="1" applyAlignment="1">
      <alignment vertical="center"/>
    </xf>
    <xf numFmtId="0" fontId="0" fillId="0" borderId="4" xfId="0" applyFont="1" applyBorder="1"/>
    <xf numFmtId="0" fontId="0" fillId="0" borderId="0" xfId="0" applyFont="1" applyBorder="1"/>
    <xf numFmtId="0" fontId="3" fillId="2" borderId="22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3" fillId="21" borderId="29" xfId="0" applyFont="1" applyFill="1" applyBorder="1" applyAlignment="1">
      <alignment horizontal="center"/>
    </xf>
    <xf numFmtId="0" fontId="3" fillId="21" borderId="30" xfId="0" applyFont="1" applyFill="1" applyBorder="1" applyAlignment="1">
      <alignment horizontal="center"/>
    </xf>
    <xf numFmtId="0" fontId="3" fillId="21" borderId="31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 vertical="top"/>
    </xf>
    <xf numFmtId="0" fontId="1" fillId="5" borderId="7" xfId="0" applyFont="1" applyFill="1" applyBorder="1" applyAlignment="1">
      <alignment horizontal="center" vertical="top"/>
    </xf>
    <xf numFmtId="0" fontId="1" fillId="5" borderId="16" xfId="0" applyFont="1" applyFill="1" applyBorder="1" applyAlignment="1">
      <alignment horizontal="center" vertical="top"/>
    </xf>
    <xf numFmtId="0" fontId="1" fillId="15" borderId="9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0" fillId="0" borderId="0" xfId="0" applyFont="1" applyFill="1" applyBorder="1"/>
  </cellXfs>
  <cellStyles count="2">
    <cellStyle name="Гиперссылка" xfId="1" builtinId="8"/>
    <cellStyle name="Обычный" xfId="0" builtinId="0"/>
  </cellStyles>
  <dxfs count="18"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0</xdr:rowOff>
    </xdr:from>
    <xdr:to>
      <xdr:col>0</xdr:col>
      <xdr:colOff>247652</xdr:colOff>
      <xdr:row>0</xdr:row>
      <xdr:rowOff>0</xdr:rowOff>
    </xdr:to>
    <xdr:cxnSp macro="">
      <xdr:nvCxnSpPr>
        <xdr:cNvPr id="2" name="Соединительная линия уступом 1"/>
        <xdr:cNvCxnSpPr/>
      </xdr:nvCxnSpPr>
      <xdr:spPr>
        <a:xfrm rot="16200000" flipH="1">
          <a:off x="204789" y="3595689"/>
          <a:ext cx="1781174" cy="2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247650</xdr:colOff>
      <xdr:row>0</xdr:row>
      <xdr:rowOff>0</xdr:rowOff>
    </xdr:from>
    <xdr:to>
      <xdr:col>1</xdr:col>
      <xdr:colOff>247652</xdr:colOff>
      <xdr:row>0</xdr:row>
      <xdr:rowOff>0</xdr:rowOff>
    </xdr:to>
    <xdr:cxnSp macro="">
      <xdr:nvCxnSpPr>
        <xdr:cNvPr id="8" name="Соединительная линия уступом 7"/>
        <xdr:cNvCxnSpPr/>
      </xdr:nvCxnSpPr>
      <xdr:spPr>
        <a:xfrm rot="16200000" flipH="1">
          <a:off x="204789" y="3595689"/>
          <a:ext cx="1781174" cy="2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247650</xdr:colOff>
      <xdr:row>14</xdr:row>
      <xdr:rowOff>9528</xdr:rowOff>
    </xdr:from>
    <xdr:to>
      <xdr:col>1</xdr:col>
      <xdr:colOff>247652</xdr:colOff>
      <xdr:row>23</xdr:row>
      <xdr:rowOff>66677</xdr:rowOff>
    </xdr:to>
    <xdr:cxnSp macro="">
      <xdr:nvCxnSpPr>
        <xdr:cNvPr id="19" name="Соединительная линия уступом 18"/>
        <xdr:cNvCxnSpPr/>
      </xdr:nvCxnSpPr>
      <xdr:spPr>
        <a:xfrm rot="16200000" flipH="1">
          <a:off x="204789" y="3595689"/>
          <a:ext cx="1781174" cy="2"/>
        </a:xfrm>
        <a:prstGeom prst="bentConnector3">
          <a:avLst>
            <a:gd name="adj1" fmla="val 50000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942976</xdr:colOff>
      <xdr:row>71</xdr:row>
      <xdr:rowOff>28576</xdr:rowOff>
    </xdr:from>
    <xdr:to>
      <xdr:col>8</xdr:col>
      <xdr:colOff>733425</xdr:colOff>
      <xdr:row>92</xdr:row>
      <xdr:rowOff>95254</xdr:rowOff>
    </xdr:to>
    <xdr:cxnSp macro="">
      <xdr:nvCxnSpPr>
        <xdr:cNvPr id="20" name="Прямая со стрелкой 22"/>
        <xdr:cNvCxnSpPr/>
      </xdr:nvCxnSpPr>
      <xdr:spPr>
        <a:xfrm rot="5400000" flipH="1" flipV="1">
          <a:off x="3667124" y="13125453"/>
          <a:ext cx="4352928" cy="5991224"/>
        </a:xfrm>
        <a:prstGeom prst="bentConnector3">
          <a:avLst>
            <a:gd name="adj1" fmla="val -231"/>
          </a:avLst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38101</xdr:colOff>
      <xdr:row>76</xdr:row>
      <xdr:rowOff>38099</xdr:rowOff>
    </xdr:from>
    <xdr:to>
      <xdr:col>12</xdr:col>
      <xdr:colOff>333378</xdr:colOff>
      <xdr:row>84</xdr:row>
      <xdr:rowOff>171450</xdr:rowOff>
    </xdr:to>
    <xdr:cxnSp macro="">
      <xdr:nvCxnSpPr>
        <xdr:cNvPr id="21" name="Прямая со стрелкой 24"/>
        <xdr:cNvCxnSpPr/>
      </xdr:nvCxnSpPr>
      <xdr:spPr>
        <a:xfrm rot="10800000" flipV="1">
          <a:off x="885826" y="14973299"/>
          <a:ext cx="12172952" cy="1762126"/>
        </a:xfrm>
        <a:prstGeom prst="bentConnector3">
          <a:avLst>
            <a:gd name="adj1" fmla="val 53"/>
          </a:avLst>
        </a:prstGeom>
        <a:ln w="2540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742952</xdr:colOff>
      <xdr:row>4</xdr:row>
      <xdr:rowOff>104775</xdr:rowOff>
    </xdr:from>
    <xdr:to>
      <xdr:col>8</xdr:col>
      <xdr:colOff>9526</xdr:colOff>
      <xdr:row>13</xdr:row>
      <xdr:rowOff>184905</xdr:rowOff>
    </xdr:to>
    <xdr:cxnSp macro="">
      <xdr:nvCxnSpPr>
        <xdr:cNvPr id="22" name="Соединительная линия уступом 21"/>
        <xdr:cNvCxnSpPr>
          <a:cxnSpLocks noChangeAspect="1"/>
        </xdr:cNvCxnSpPr>
      </xdr:nvCxnSpPr>
      <xdr:spPr>
        <a:xfrm rot="10800000">
          <a:off x="4276727" y="895350"/>
          <a:ext cx="3838574" cy="1794630"/>
        </a:xfrm>
        <a:prstGeom prst="bentConnector3">
          <a:avLst>
            <a:gd name="adj1" fmla="val 50000"/>
          </a:avLst>
        </a:prstGeom>
        <a:ln w="25400" cmpd="sng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457200</xdr:colOff>
      <xdr:row>2</xdr:row>
      <xdr:rowOff>19048</xdr:rowOff>
    </xdr:from>
    <xdr:to>
      <xdr:col>7</xdr:col>
      <xdr:colOff>590550</xdr:colOff>
      <xdr:row>3</xdr:row>
      <xdr:rowOff>114299</xdr:rowOff>
    </xdr:to>
    <xdr:cxnSp macro="">
      <xdr:nvCxnSpPr>
        <xdr:cNvPr id="23" name="Соединительная линия уступом 22"/>
        <xdr:cNvCxnSpPr/>
      </xdr:nvCxnSpPr>
      <xdr:spPr>
        <a:xfrm rot="10800000" flipV="1">
          <a:off x="1304925" y="419098"/>
          <a:ext cx="6610350" cy="295276"/>
        </a:xfrm>
        <a:prstGeom prst="bentConnector3">
          <a:avLst>
            <a:gd name="adj1" fmla="val 100000"/>
          </a:avLst>
        </a:prstGeom>
        <a:ln w="25400">
          <a:solidFill>
            <a:srgbClr val="FFC000"/>
          </a:solidFill>
          <a:tailEnd type="triangle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762000</xdr:colOff>
      <xdr:row>21</xdr:row>
      <xdr:rowOff>28950</xdr:rowOff>
    </xdr:from>
    <xdr:to>
      <xdr:col>11</xdr:col>
      <xdr:colOff>883950</xdr:colOff>
      <xdr:row>28</xdr:row>
      <xdr:rowOff>171450</xdr:rowOff>
    </xdr:to>
    <xdr:cxnSp macro="">
      <xdr:nvCxnSpPr>
        <xdr:cNvPr id="24" name="Соединительная линия уступом 23"/>
        <xdr:cNvCxnSpPr>
          <a:cxnSpLocks/>
        </xdr:cNvCxnSpPr>
      </xdr:nvCxnSpPr>
      <xdr:spPr>
        <a:xfrm rot="16200000" flipH="1">
          <a:off x="9995738" y="2939587"/>
          <a:ext cx="1476000" cy="3731925"/>
        </a:xfrm>
        <a:prstGeom prst="bentConnector3">
          <a:avLst>
            <a:gd name="adj1" fmla="val 8054"/>
          </a:avLst>
        </a:prstGeom>
        <a:ln w="25400">
          <a:solidFill>
            <a:schemeClr val="tx2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75</xdr:row>
      <xdr:rowOff>114300</xdr:rowOff>
    </xdr:from>
    <xdr:to>
      <xdr:col>10</xdr:col>
      <xdr:colOff>0</xdr:colOff>
      <xdr:row>84</xdr:row>
      <xdr:rowOff>95250</xdr:rowOff>
    </xdr:to>
    <xdr:cxnSp macro="">
      <xdr:nvCxnSpPr>
        <xdr:cNvPr id="25" name="Соединительная линия уступом 24"/>
        <xdr:cNvCxnSpPr/>
      </xdr:nvCxnSpPr>
      <xdr:spPr>
        <a:xfrm flipV="1">
          <a:off x="5810250" y="14839950"/>
          <a:ext cx="5295900" cy="1819275"/>
        </a:xfrm>
        <a:prstGeom prst="bentConnector3">
          <a:avLst>
            <a:gd name="adj1" fmla="val 92177"/>
          </a:avLst>
        </a:prstGeom>
        <a:ln w="25400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228600</xdr:colOff>
      <xdr:row>25</xdr:row>
      <xdr:rowOff>76200</xdr:rowOff>
    </xdr:from>
    <xdr:to>
      <xdr:col>2</xdr:col>
      <xdr:colOff>247650</xdr:colOff>
      <xdr:row>25</xdr:row>
      <xdr:rowOff>76200</xdr:rowOff>
    </xdr:to>
    <xdr:cxnSp macro="">
      <xdr:nvCxnSpPr>
        <xdr:cNvPr id="26" name="Прямая соединительная линия 25"/>
        <xdr:cNvCxnSpPr/>
      </xdr:nvCxnSpPr>
      <xdr:spPr>
        <a:xfrm flipH="1">
          <a:off x="228600" y="4876800"/>
          <a:ext cx="192405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238125</xdr:colOff>
      <xdr:row>8</xdr:row>
      <xdr:rowOff>92927</xdr:rowOff>
    </xdr:from>
    <xdr:to>
      <xdr:col>0</xdr:col>
      <xdr:colOff>238125</xdr:colOff>
      <xdr:row>25</xdr:row>
      <xdr:rowOff>76201</xdr:rowOff>
    </xdr:to>
    <xdr:cxnSp macro="">
      <xdr:nvCxnSpPr>
        <xdr:cNvPr id="27" name="Прямая соединительная линия 26"/>
        <xdr:cNvCxnSpPr/>
      </xdr:nvCxnSpPr>
      <xdr:spPr>
        <a:xfrm flipV="1">
          <a:off x="238125" y="1645502"/>
          <a:ext cx="0" cy="3231299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236089</xdr:colOff>
      <xdr:row>8</xdr:row>
      <xdr:rowOff>97573</xdr:rowOff>
    </xdr:from>
    <xdr:to>
      <xdr:col>1</xdr:col>
      <xdr:colOff>590373</xdr:colOff>
      <xdr:row>8</xdr:row>
      <xdr:rowOff>97573</xdr:rowOff>
    </xdr:to>
    <xdr:cxnSp macro="">
      <xdr:nvCxnSpPr>
        <xdr:cNvPr id="28" name="Прямая со стрелкой 27"/>
        <xdr:cNvCxnSpPr/>
      </xdr:nvCxnSpPr>
      <xdr:spPr>
        <a:xfrm>
          <a:off x="236089" y="1650148"/>
          <a:ext cx="1202009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942977</xdr:colOff>
      <xdr:row>80</xdr:row>
      <xdr:rowOff>0</xdr:rowOff>
    </xdr:from>
    <xdr:to>
      <xdr:col>8</xdr:col>
      <xdr:colOff>476250</xdr:colOff>
      <xdr:row>86</xdr:row>
      <xdr:rowOff>114306</xdr:rowOff>
    </xdr:to>
    <xdr:cxnSp macro="">
      <xdr:nvCxnSpPr>
        <xdr:cNvPr id="29" name="Прямая со стрелкой 22"/>
        <xdr:cNvCxnSpPr/>
      </xdr:nvCxnSpPr>
      <xdr:spPr>
        <a:xfrm flipV="1">
          <a:off x="2847977" y="15754350"/>
          <a:ext cx="5734048" cy="1343031"/>
        </a:xfrm>
        <a:prstGeom prst="bentConnector3">
          <a:avLst>
            <a:gd name="adj1" fmla="val 100000"/>
          </a:avLst>
        </a:prstGeom>
        <a:ln w="28575">
          <a:solidFill>
            <a:srgbClr val="00AA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\Universal_&#1055;&#1072;&#1088;&#1072;&#1084;&#1077;&#1090;&#1088;&#1099;.xlsm" TargetMode="External"/><Relationship Id="rId3" Type="http://schemas.openxmlformats.org/officeDocument/2006/relationships/hyperlink" Target="..\Universal_&#1055;&#1072;&#1088;&#1072;&#1084;&#1077;&#1090;&#1088;&#1099;.xlsm" TargetMode="External"/><Relationship Id="rId7" Type="http://schemas.openxmlformats.org/officeDocument/2006/relationships/hyperlink" Target="..\Universal_&#1055;&#1072;&#1088;&#1072;&#1084;&#1077;&#1090;&#1088;&#1099;.xlsm" TargetMode="External"/><Relationship Id="rId2" Type="http://schemas.openxmlformats.org/officeDocument/2006/relationships/hyperlink" Target="..\Universal_&#1055;&#1072;&#1088;&#1072;&#1084;&#1077;&#1090;&#1088;&#1099;.xlsm" TargetMode="External"/><Relationship Id="rId1" Type="http://schemas.openxmlformats.org/officeDocument/2006/relationships/hyperlink" Target="..\Universal_&#1055;&#1072;&#1088;&#1072;&#1084;&#1077;&#1090;&#1088;&#1099;.xlsm" TargetMode="External"/><Relationship Id="rId6" Type="http://schemas.openxmlformats.org/officeDocument/2006/relationships/hyperlink" Target="..\Universal_&#1055;&#1072;&#1088;&#1072;&#1084;&#1077;&#1090;&#1088;&#1099;.xlsm" TargetMode="External"/><Relationship Id="rId11" Type="http://schemas.openxmlformats.org/officeDocument/2006/relationships/hyperlink" Target="..\Universal_&#1055;&#1072;&#1088;&#1072;&#1084;&#1077;&#1090;&#1088;&#1099;.xlsm" TargetMode="External"/><Relationship Id="rId5" Type="http://schemas.openxmlformats.org/officeDocument/2006/relationships/hyperlink" Target="..\Universal_&#1055;&#1072;&#1088;&#1072;&#1084;&#1077;&#1090;&#1088;&#1099;.xlsm" TargetMode="External"/><Relationship Id="rId10" Type="http://schemas.openxmlformats.org/officeDocument/2006/relationships/hyperlink" Target="..\Universal_&#1055;&#1072;&#1088;&#1072;&#1084;&#1077;&#1090;&#1088;&#1099;.xlsm" TargetMode="External"/><Relationship Id="rId4" Type="http://schemas.openxmlformats.org/officeDocument/2006/relationships/hyperlink" Target="..\Universal_&#1055;&#1072;&#1088;&#1072;&#1084;&#1077;&#1090;&#1088;&#1099;.xlsm" TargetMode="External"/><Relationship Id="rId9" Type="http://schemas.openxmlformats.org/officeDocument/2006/relationships/hyperlink" Target="..\Universal_&#1055;&#1072;&#1088;&#1072;&#1084;&#1077;&#1090;&#1088;&#1099;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46"/>
  <sheetViews>
    <sheetView topLeftCell="A4" workbookViewId="0">
      <selection activeCell="B31" sqref="B31"/>
    </sheetView>
  </sheetViews>
  <sheetFormatPr defaultRowHeight="18.75" x14ac:dyDescent="0.3"/>
  <cols>
    <col min="1" max="1" width="4.25" style="159" bestFit="1" customWidth="1"/>
    <col min="2" max="2" width="125.625" style="163" bestFit="1" customWidth="1"/>
    <col min="3" max="3" width="17.625" style="156" bestFit="1" customWidth="1"/>
    <col min="4" max="4" width="45.375" style="156" bestFit="1" customWidth="1"/>
    <col min="5" max="16384" width="9" style="156"/>
  </cols>
  <sheetData>
    <row r="1" spans="1:4" x14ac:dyDescent="0.3">
      <c r="A1" s="158" t="s">
        <v>0</v>
      </c>
      <c r="B1" s="161" t="s">
        <v>398</v>
      </c>
      <c r="C1" s="157" t="s">
        <v>427</v>
      </c>
    </row>
    <row r="2" spans="1:4" x14ac:dyDescent="0.3">
      <c r="B2" s="162" t="s">
        <v>401</v>
      </c>
      <c r="C2" s="157" t="s">
        <v>428</v>
      </c>
      <c r="D2" s="156" t="s">
        <v>429</v>
      </c>
    </row>
    <row r="3" spans="1:4" x14ac:dyDescent="0.3">
      <c r="B3" s="163" t="s">
        <v>400</v>
      </c>
    </row>
    <row r="4" spans="1:4" x14ac:dyDescent="0.3">
      <c r="B4" s="163" t="s">
        <v>389</v>
      </c>
    </row>
    <row r="6" spans="1:4" x14ac:dyDescent="0.3">
      <c r="B6" s="161" t="s">
        <v>399</v>
      </c>
    </row>
    <row r="7" spans="1:4" x14ac:dyDescent="0.3">
      <c r="A7" s="159" t="s">
        <v>402</v>
      </c>
      <c r="B7" s="163" t="s">
        <v>407</v>
      </c>
    </row>
    <row r="8" spans="1:4" x14ac:dyDescent="0.3">
      <c r="A8" s="159" t="s">
        <v>403</v>
      </c>
      <c r="B8" s="163" t="s">
        <v>408</v>
      </c>
    </row>
    <row r="9" spans="1:4" ht="37.5" x14ac:dyDescent="0.3">
      <c r="A9" s="159" t="s">
        <v>404</v>
      </c>
      <c r="B9" s="164" t="s">
        <v>410</v>
      </c>
    </row>
    <row r="10" spans="1:4" x14ac:dyDescent="0.3">
      <c r="A10" s="159" t="s">
        <v>405</v>
      </c>
      <c r="B10" s="163" t="s">
        <v>409</v>
      </c>
    </row>
    <row r="11" spans="1:4" x14ac:dyDescent="0.3">
      <c r="A11" s="159" t="s">
        <v>406</v>
      </c>
      <c r="B11" s="165" t="s">
        <v>430</v>
      </c>
    </row>
    <row r="12" spans="1:4" x14ac:dyDescent="0.3">
      <c r="B12" s="165" t="s">
        <v>431</v>
      </c>
    </row>
    <row r="13" spans="1:4" x14ac:dyDescent="0.3">
      <c r="A13" s="159" t="s">
        <v>411</v>
      </c>
      <c r="B13" s="165" t="s">
        <v>433</v>
      </c>
    </row>
    <row r="14" spans="1:4" x14ac:dyDescent="0.3">
      <c r="B14" s="165" t="s">
        <v>434</v>
      </c>
    </row>
    <row r="15" spans="1:4" x14ac:dyDescent="0.3">
      <c r="B15" s="165" t="s">
        <v>432</v>
      </c>
    </row>
    <row r="16" spans="1:4" x14ac:dyDescent="0.3">
      <c r="A16" s="159" t="s">
        <v>412</v>
      </c>
      <c r="B16" s="163" t="s">
        <v>466</v>
      </c>
    </row>
    <row r="17" spans="1:2" ht="56.25" x14ac:dyDescent="0.3">
      <c r="A17" s="159" t="s">
        <v>413</v>
      </c>
      <c r="B17" s="165" t="s">
        <v>414</v>
      </c>
    </row>
    <row r="18" spans="1:2" x14ac:dyDescent="0.3">
      <c r="B18" s="165"/>
    </row>
    <row r="19" spans="1:2" x14ac:dyDescent="0.3">
      <c r="B19" s="165"/>
    </row>
    <row r="20" spans="1:2" ht="37.5" x14ac:dyDescent="0.3">
      <c r="A20" s="159" t="s">
        <v>415</v>
      </c>
      <c r="B20" s="165" t="s">
        <v>416</v>
      </c>
    </row>
    <row r="22" spans="1:2" x14ac:dyDescent="0.3">
      <c r="A22" s="158" t="s">
        <v>1</v>
      </c>
      <c r="B22" s="163" t="s">
        <v>390</v>
      </c>
    </row>
    <row r="23" spans="1:2" x14ac:dyDescent="0.3">
      <c r="A23" s="158"/>
      <c r="B23" s="166" t="s">
        <v>2</v>
      </c>
    </row>
    <row r="24" spans="1:2" x14ac:dyDescent="0.3">
      <c r="A24" s="158"/>
      <c r="B24" s="163" t="s">
        <v>391</v>
      </c>
    </row>
    <row r="25" spans="1:2" x14ac:dyDescent="0.3">
      <c r="A25" s="158"/>
      <c r="B25" s="163" t="s">
        <v>418</v>
      </c>
    </row>
    <row r="26" spans="1:2" x14ac:dyDescent="0.3">
      <c r="A26" s="158"/>
      <c r="B26" s="163" t="s">
        <v>3</v>
      </c>
    </row>
    <row r="27" spans="1:2" x14ac:dyDescent="0.3">
      <c r="A27" s="158"/>
      <c r="B27" s="163" t="s">
        <v>4</v>
      </c>
    </row>
    <row r="28" spans="1:2" ht="37.5" x14ac:dyDescent="0.3">
      <c r="B28" s="165" t="s">
        <v>417</v>
      </c>
    </row>
    <row r="30" spans="1:2" x14ac:dyDescent="0.3">
      <c r="A30" s="155" t="s">
        <v>5</v>
      </c>
      <c r="B30" s="156" t="s">
        <v>420</v>
      </c>
    </row>
    <row r="31" spans="1:2" x14ac:dyDescent="0.3">
      <c r="A31" s="155"/>
      <c r="B31" s="156" t="s">
        <v>6</v>
      </c>
    </row>
    <row r="32" spans="1:2" x14ac:dyDescent="0.3">
      <c r="A32" s="155"/>
      <c r="B32" s="156" t="s">
        <v>419</v>
      </c>
    </row>
    <row r="34" spans="1:2" x14ac:dyDescent="0.3">
      <c r="A34" s="155" t="s">
        <v>7</v>
      </c>
      <c r="B34" s="156" t="s">
        <v>392</v>
      </c>
    </row>
    <row r="35" spans="1:2" x14ac:dyDescent="0.3">
      <c r="A35" s="155"/>
      <c r="B35" s="156" t="s">
        <v>421</v>
      </c>
    </row>
    <row r="36" spans="1:2" x14ac:dyDescent="0.3">
      <c r="A36" s="155"/>
      <c r="B36" s="156" t="s">
        <v>422</v>
      </c>
    </row>
    <row r="37" spans="1:2" x14ac:dyDescent="0.3">
      <c r="A37" s="155"/>
      <c r="B37" s="156" t="s">
        <v>423</v>
      </c>
    </row>
    <row r="38" spans="1:2" x14ac:dyDescent="0.3">
      <c r="A38" s="155"/>
      <c r="B38" s="156" t="s">
        <v>424</v>
      </c>
    </row>
    <row r="39" spans="1:2" ht="37.5" x14ac:dyDescent="0.3">
      <c r="A39" s="155"/>
      <c r="B39" s="160" t="s">
        <v>425</v>
      </c>
    </row>
    <row r="41" spans="1:2" x14ac:dyDescent="0.3">
      <c r="A41" s="155" t="s">
        <v>8</v>
      </c>
      <c r="B41" s="156" t="s">
        <v>426</v>
      </c>
    </row>
    <row r="42" spans="1:2" x14ac:dyDescent="0.3">
      <c r="A42" s="155"/>
      <c r="B42" s="156" t="s">
        <v>393</v>
      </c>
    </row>
    <row r="43" spans="1:2" x14ac:dyDescent="0.3">
      <c r="A43" s="155"/>
      <c r="B43" s="156" t="s">
        <v>394</v>
      </c>
    </row>
    <row r="44" spans="1:2" x14ac:dyDescent="0.3">
      <c r="A44" s="155"/>
      <c r="B44" s="156" t="s">
        <v>395</v>
      </c>
    </row>
    <row r="45" spans="1:2" x14ac:dyDescent="0.3">
      <c r="A45" s="155"/>
      <c r="B45" s="156" t="s">
        <v>396</v>
      </c>
    </row>
    <row r="46" spans="1:2" x14ac:dyDescent="0.3">
      <c r="A46" s="155"/>
      <c r="B46" s="156" t="s">
        <v>397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67"/>
  <sheetViews>
    <sheetView workbookViewId="0">
      <selection activeCell="F12" sqref="F12"/>
    </sheetView>
  </sheetViews>
  <sheetFormatPr defaultRowHeight="15.75" x14ac:dyDescent="0.25"/>
  <cols>
    <col min="1" max="1" width="12.875" style="178" customWidth="1"/>
    <col min="2" max="2" width="14" style="178" bestFit="1" customWidth="1"/>
    <col min="3" max="3" width="22.5" style="178" bestFit="1" customWidth="1"/>
    <col min="4" max="5" width="12.375" style="178" customWidth="1"/>
    <col min="6" max="6" width="40.375" style="178" customWidth="1"/>
    <col min="7" max="9" width="9" style="178"/>
    <col min="10" max="10" width="17.75" style="178" bestFit="1" customWidth="1"/>
    <col min="11" max="13" width="9" style="178"/>
    <col min="14" max="14" width="20" style="178" customWidth="1"/>
    <col min="15" max="16384" width="9" style="178"/>
  </cols>
  <sheetData>
    <row r="1" spans="1:14" ht="18" customHeight="1" x14ac:dyDescent="0.25">
      <c r="A1" s="175" t="s">
        <v>9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7"/>
    </row>
    <row r="2" spans="1:14" ht="18" customHeight="1" x14ac:dyDescent="0.25">
      <c r="A2" s="179" t="s">
        <v>10</v>
      </c>
      <c r="B2" s="179"/>
      <c r="C2" s="2"/>
      <c r="D2" s="2"/>
      <c r="E2" s="2"/>
      <c r="F2" s="2"/>
      <c r="G2" s="2"/>
      <c r="H2" s="2"/>
      <c r="I2" s="179"/>
      <c r="J2" s="2"/>
      <c r="N2" s="180"/>
    </row>
    <row r="3" spans="1:14" s="181" customFormat="1" ht="41.25" customHeight="1" x14ac:dyDescent="0.25">
      <c r="A3" s="3" t="s">
        <v>11</v>
      </c>
      <c r="B3" s="3" t="s">
        <v>12</v>
      </c>
      <c r="C3" s="3" t="s">
        <v>13</v>
      </c>
      <c r="D3" s="4" t="s">
        <v>14</v>
      </c>
      <c r="E3" s="5" t="s">
        <v>15</v>
      </c>
      <c r="F3" s="6" t="s">
        <v>16</v>
      </c>
      <c r="G3" s="7"/>
      <c r="H3" s="7"/>
      <c r="I3" s="7"/>
      <c r="J3" s="7"/>
      <c r="K3" s="7"/>
      <c r="L3" s="7"/>
      <c r="M3" s="7"/>
      <c r="N3" s="3" t="s">
        <v>17</v>
      </c>
    </row>
    <row r="4" spans="1:14" ht="18" customHeight="1" x14ac:dyDescent="0.25">
      <c r="A4" s="8" t="s">
        <v>18</v>
      </c>
      <c r="B4" s="9" t="s">
        <v>19</v>
      </c>
      <c r="C4" s="9" t="s">
        <v>20</v>
      </c>
      <c r="D4" s="9" t="s">
        <v>21</v>
      </c>
      <c r="E4" s="10" t="s">
        <v>21</v>
      </c>
      <c r="F4" s="182" t="s">
        <v>22</v>
      </c>
      <c r="G4" s="183"/>
      <c r="H4" s="183"/>
      <c r="I4" s="183"/>
      <c r="J4" s="183"/>
      <c r="K4" s="183"/>
      <c r="L4" s="183"/>
      <c r="M4" s="183"/>
      <c r="N4" s="192" t="s">
        <v>23</v>
      </c>
    </row>
    <row r="5" spans="1:14" ht="18" customHeight="1" x14ac:dyDescent="0.25">
      <c r="A5" s="184"/>
      <c r="B5" s="11" t="s">
        <v>24</v>
      </c>
      <c r="C5" s="11" t="s">
        <v>20</v>
      </c>
      <c r="D5" s="11" t="s">
        <v>21</v>
      </c>
      <c r="E5" s="12" t="s">
        <v>21</v>
      </c>
      <c r="F5" s="13" t="s">
        <v>25</v>
      </c>
      <c r="G5" s="14"/>
      <c r="H5" s="14"/>
      <c r="I5" s="14"/>
      <c r="J5" s="14"/>
      <c r="K5" s="14"/>
      <c r="L5" s="14"/>
      <c r="M5" s="14"/>
      <c r="N5" s="11"/>
    </row>
    <row r="6" spans="1:14" ht="18" customHeight="1" x14ac:dyDescent="0.25">
      <c r="A6" s="184"/>
      <c r="B6" s="15" t="s">
        <v>26</v>
      </c>
      <c r="C6" s="15" t="s">
        <v>20</v>
      </c>
      <c r="D6" s="15" t="s">
        <v>21</v>
      </c>
      <c r="E6" s="16" t="s">
        <v>21</v>
      </c>
      <c r="F6" s="185" t="s">
        <v>27</v>
      </c>
      <c r="G6" s="186"/>
      <c r="H6" s="186"/>
      <c r="I6" s="186"/>
      <c r="J6" s="186"/>
      <c r="K6" s="186"/>
      <c r="L6" s="186"/>
      <c r="M6" s="186"/>
      <c r="N6" s="184"/>
    </row>
    <row r="7" spans="1:14" ht="18" customHeight="1" x14ac:dyDescent="0.25">
      <c r="A7" s="184"/>
      <c r="B7" s="11" t="s">
        <v>28</v>
      </c>
      <c r="C7" s="11" t="s">
        <v>20</v>
      </c>
      <c r="D7" s="11" t="s">
        <v>29</v>
      </c>
      <c r="E7" s="12" t="s">
        <v>21</v>
      </c>
      <c r="F7" s="13" t="s">
        <v>30</v>
      </c>
      <c r="G7" s="14"/>
      <c r="H7" s="14"/>
      <c r="I7" s="14"/>
      <c r="J7" s="14"/>
      <c r="K7" s="14"/>
      <c r="L7" s="14"/>
      <c r="M7" s="14"/>
      <c r="N7" s="11"/>
    </row>
    <row r="8" spans="1:14" ht="18" customHeight="1" x14ac:dyDescent="0.25">
      <c r="A8" s="184"/>
      <c r="B8" s="15" t="s">
        <v>31</v>
      </c>
      <c r="C8" s="15" t="s">
        <v>20</v>
      </c>
      <c r="D8" s="15" t="s">
        <v>29</v>
      </c>
      <c r="E8" s="16" t="s">
        <v>21</v>
      </c>
      <c r="F8" s="185" t="s">
        <v>32</v>
      </c>
      <c r="G8" s="186"/>
      <c r="H8" s="186"/>
      <c r="I8" s="186"/>
      <c r="J8" s="186"/>
      <c r="K8" s="186"/>
      <c r="L8" s="186"/>
      <c r="M8" s="186"/>
      <c r="N8" s="184"/>
    </row>
    <row r="9" spans="1:14" ht="18" customHeight="1" x14ac:dyDescent="0.25">
      <c r="A9" s="184"/>
      <c r="B9" s="11" t="s">
        <v>33</v>
      </c>
      <c r="C9" s="11" t="s">
        <v>34</v>
      </c>
      <c r="D9" s="11" t="s">
        <v>29</v>
      </c>
      <c r="E9" s="12" t="s">
        <v>21</v>
      </c>
      <c r="F9" s="13" t="s">
        <v>35</v>
      </c>
      <c r="G9" s="14"/>
      <c r="H9" s="14"/>
      <c r="I9" s="14"/>
      <c r="J9" s="14"/>
      <c r="K9" s="14"/>
      <c r="L9" s="14"/>
      <c r="M9" s="14"/>
      <c r="N9" s="11"/>
    </row>
    <row r="10" spans="1:14" ht="18" customHeight="1" x14ac:dyDescent="0.25">
      <c r="A10" s="184"/>
      <c r="B10" s="15" t="s">
        <v>36</v>
      </c>
      <c r="C10" s="15" t="s">
        <v>37</v>
      </c>
      <c r="D10" s="15" t="s">
        <v>29</v>
      </c>
      <c r="E10" s="16" t="s">
        <v>21</v>
      </c>
      <c r="F10" s="185" t="s">
        <v>38</v>
      </c>
      <c r="G10" s="186"/>
      <c r="H10" s="186"/>
      <c r="I10" s="186"/>
      <c r="J10" s="186"/>
      <c r="K10" s="186"/>
      <c r="L10" s="186"/>
      <c r="M10" s="186"/>
      <c r="N10" s="184"/>
    </row>
    <row r="11" spans="1:14" ht="18" customHeight="1" x14ac:dyDescent="0.25">
      <c r="A11" s="184"/>
      <c r="B11" s="11" t="s">
        <v>39</v>
      </c>
      <c r="C11" s="11" t="s">
        <v>40</v>
      </c>
      <c r="D11" s="11" t="s">
        <v>29</v>
      </c>
      <c r="E11" s="12" t="s">
        <v>21</v>
      </c>
      <c r="F11" s="13" t="s">
        <v>41</v>
      </c>
      <c r="G11" s="14"/>
      <c r="H11" s="14"/>
      <c r="I11" s="14"/>
      <c r="J11" s="14"/>
      <c r="K11" s="14"/>
      <c r="L11" s="14"/>
      <c r="M11" s="14"/>
      <c r="N11" s="11" t="s">
        <v>42</v>
      </c>
    </row>
    <row r="12" spans="1:14" ht="18" customHeight="1" x14ac:dyDescent="0.25">
      <c r="A12" s="184"/>
      <c r="B12" s="15" t="s">
        <v>43</v>
      </c>
      <c r="C12" s="15" t="s">
        <v>40</v>
      </c>
      <c r="D12" s="15" t="s">
        <v>29</v>
      </c>
      <c r="E12" s="18" t="s">
        <v>21</v>
      </c>
      <c r="F12" s="174" t="s">
        <v>44</v>
      </c>
      <c r="G12" s="186"/>
      <c r="H12" s="186"/>
      <c r="I12" s="186"/>
      <c r="J12" s="186"/>
      <c r="K12" s="186"/>
      <c r="L12" s="186"/>
      <c r="M12" s="186"/>
      <c r="N12" s="184" t="s">
        <v>45</v>
      </c>
    </row>
    <row r="13" spans="1:14" ht="18" customHeight="1" x14ac:dyDescent="0.25">
      <c r="A13" s="179"/>
      <c r="B13" s="11" t="s">
        <v>46</v>
      </c>
      <c r="C13" s="11" t="s">
        <v>34</v>
      </c>
      <c r="D13" s="11" t="s">
        <v>29</v>
      </c>
      <c r="E13" s="12" t="s">
        <v>21</v>
      </c>
      <c r="F13" s="13" t="s">
        <v>47</v>
      </c>
      <c r="G13" s="14"/>
      <c r="H13" s="14"/>
      <c r="I13" s="14"/>
      <c r="J13" s="14"/>
      <c r="K13" s="14"/>
      <c r="L13" s="14"/>
      <c r="M13" s="14"/>
      <c r="N13" s="11"/>
    </row>
    <row r="14" spans="1:14" ht="18" customHeight="1" x14ac:dyDescent="0.25">
      <c r="A14" s="179"/>
      <c r="B14" s="15" t="s">
        <v>48</v>
      </c>
      <c r="C14" s="15" t="s">
        <v>37</v>
      </c>
      <c r="D14" s="15" t="s">
        <v>29</v>
      </c>
      <c r="E14" s="16" t="s">
        <v>21</v>
      </c>
      <c r="F14" s="185" t="s">
        <v>49</v>
      </c>
      <c r="G14" s="186"/>
      <c r="H14" s="186"/>
      <c r="I14" s="186"/>
      <c r="J14" s="186"/>
      <c r="K14" s="186"/>
      <c r="L14" s="186"/>
      <c r="M14" s="186"/>
      <c r="N14" s="184"/>
    </row>
    <row r="15" spans="1:14" ht="18" customHeight="1" x14ac:dyDescent="0.25">
      <c r="A15" s="179"/>
      <c r="B15" s="11" t="s">
        <v>50</v>
      </c>
      <c r="C15" s="11" t="s">
        <v>34</v>
      </c>
      <c r="D15" s="11" t="s">
        <v>29</v>
      </c>
      <c r="E15" s="12" t="s">
        <v>21</v>
      </c>
      <c r="F15" s="13" t="s">
        <v>51</v>
      </c>
      <c r="G15" s="14"/>
      <c r="H15" s="14"/>
      <c r="I15" s="14"/>
      <c r="J15" s="14"/>
      <c r="K15" s="14"/>
      <c r="L15" s="14"/>
      <c r="M15" s="14"/>
      <c r="N15" s="11"/>
    </row>
    <row r="16" spans="1:14" ht="18" customHeight="1" x14ac:dyDescent="0.25">
      <c r="A16" s="179"/>
      <c r="B16" s="15" t="s">
        <v>52</v>
      </c>
      <c r="C16" s="15" t="s">
        <v>37</v>
      </c>
      <c r="D16" s="15" t="s">
        <v>29</v>
      </c>
      <c r="E16" s="16" t="s">
        <v>21</v>
      </c>
      <c r="F16" s="185" t="s">
        <v>53</v>
      </c>
      <c r="G16" s="186"/>
      <c r="H16" s="186"/>
      <c r="I16" s="186"/>
      <c r="J16" s="186"/>
      <c r="K16" s="186"/>
      <c r="L16" s="186"/>
      <c r="M16" s="186"/>
      <c r="N16" s="184"/>
    </row>
    <row r="17" spans="1:14" ht="18" customHeight="1" x14ac:dyDescent="0.25">
      <c r="A17" s="179"/>
      <c r="B17" s="11" t="s">
        <v>54</v>
      </c>
      <c r="C17" s="11" t="s">
        <v>20</v>
      </c>
      <c r="D17" s="11" t="s">
        <v>29</v>
      </c>
      <c r="E17" s="12" t="s">
        <v>21</v>
      </c>
      <c r="F17" s="13" t="s">
        <v>55</v>
      </c>
      <c r="G17" s="14"/>
      <c r="H17" s="14"/>
      <c r="I17" s="14"/>
      <c r="J17" s="14"/>
      <c r="K17" s="14"/>
      <c r="L17" s="14"/>
      <c r="M17" s="14"/>
      <c r="N17" s="22" t="s">
        <v>56</v>
      </c>
    </row>
    <row r="18" spans="1:14" ht="18" customHeight="1" x14ac:dyDescent="0.25">
      <c r="A18" s="179"/>
      <c r="B18" s="15" t="s">
        <v>57</v>
      </c>
      <c r="C18" s="15" t="s">
        <v>20</v>
      </c>
      <c r="D18" s="15" t="s">
        <v>29</v>
      </c>
      <c r="E18" s="16" t="s">
        <v>21</v>
      </c>
      <c r="F18" s="185" t="s">
        <v>58</v>
      </c>
      <c r="G18" s="186"/>
      <c r="H18" s="186"/>
      <c r="I18" s="186"/>
      <c r="J18" s="186"/>
      <c r="K18" s="186"/>
      <c r="L18" s="186"/>
      <c r="M18" s="186"/>
      <c r="N18" s="193" t="s">
        <v>56</v>
      </c>
    </row>
    <row r="19" spans="1:14" ht="18" customHeight="1" x14ac:dyDescent="0.25">
      <c r="A19" s="179"/>
      <c r="B19" s="11" t="s">
        <v>59</v>
      </c>
      <c r="C19" s="11" t="s">
        <v>20</v>
      </c>
      <c r="D19" s="11" t="s">
        <v>29</v>
      </c>
      <c r="E19" s="12" t="s">
        <v>21</v>
      </c>
      <c r="F19" s="13" t="s">
        <v>60</v>
      </c>
      <c r="G19" s="14"/>
      <c r="H19" s="14"/>
      <c r="I19" s="14"/>
      <c r="J19" s="14"/>
      <c r="K19" s="14"/>
      <c r="L19" s="14"/>
      <c r="M19" s="14"/>
      <c r="N19" s="22" t="s">
        <v>61</v>
      </c>
    </row>
    <row r="20" spans="1:14" ht="18" customHeight="1" x14ac:dyDescent="0.25">
      <c r="A20" s="179"/>
      <c r="B20" s="15" t="s">
        <v>474</v>
      </c>
      <c r="C20" s="15" t="s">
        <v>475</v>
      </c>
      <c r="D20" s="15" t="s">
        <v>29</v>
      </c>
      <c r="E20" s="16" t="s">
        <v>21</v>
      </c>
      <c r="F20" s="185" t="s">
        <v>476</v>
      </c>
      <c r="G20" s="186"/>
      <c r="H20" s="186"/>
      <c r="I20" s="186"/>
      <c r="J20" s="186"/>
      <c r="K20" s="186"/>
      <c r="L20" s="186"/>
      <c r="M20" s="186"/>
      <c r="N20" s="194"/>
    </row>
    <row r="21" spans="1:14" ht="18" customHeight="1" x14ac:dyDescent="0.25">
      <c r="A21" s="179"/>
      <c r="B21" s="11" t="s">
        <v>477</v>
      </c>
      <c r="C21" s="11" t="s">
        <v>475</v>
      </c>
      <c r="D21" s="11" t="s">
        <v>21</v>
      </c>
      <c r="E21" s="12" t="s">
        <v>21</v>
      </c>
      <c r="F21" s="13" t="s">
        <v>478</v>
      </c>
      <c r="G21" s="14"/>
      <c r="H21" s="14"/>
      <c r="I21" s="14"/>
      <c r="J21" s="14"/>
      <c r="K21" s="14"/>
      <c r="L21" s="14"/>
      <c r="M21" s="14"/>
      <c r="N21" s="19"/>
    </row>
    <row r="22" spans="1:14" ht="18" customHeight="1" x14ac:dyDescent="0.25">
      <c r="A22" s="179"/>
      <c r="B22" s="15" t="s">
        <v>62</v>
      </c>
      <c r="C22" s="15" t="s">
        <v>20</v>
      </c>
      <c r="D22" s="15" t="s">
        <v>29</v>
      </c>
      <c r="E22" s="16" t="s">
        <v>21</v>
      </c>
      <c r="F22" s="185" t="s">
        <v>63</v>
      </c>
      <c r="G22" s="186"/>
      <c r="H22" s="186"/>
      <c r="I22" s="186"/>
      <c r="J22" s="186"/>
      <c r="K22" s="186"/>
      <c r="L22" s="186"/>
      <c r="M22" s="186"/>
      <c r="N22" s="194"/>
    </row>
    <row r="23" spans="1:14" ht="18" customHeight="1" x14ac:dyDescent="0.25">
      <c r="A23" s="187"/>
      <c r="B23" s="170" t="s">
        <v>472</v>
      </c>
      <c r="C23" s="170" t="s">
        <v>40</v>
      </c>
      <c r="D23" s="23" t="s">
        <v>29</v>
      </c>
      <c r="E23" s="24" t="s">
        <v>21</v>
      </c>
      <c r="F23" s="188" t="s">
        <v>473</v>
      </c>
      <c r="G23" s="195"/>
      <c r="H23" s="195"/>
      <c r="I23" s="195"/>
      <c r="J23" s="195"/>
      <c r="K23" s="195"/>
      <c r="L23" s="195"/>
      <c r="M23" s="195"/>
      <c r="N23" s="196"/>
    </row>
    <row r="25" spans="1:14" ht="18" customHeight="1" x14ac:dyDescent="0.25">
      <c r="A25" s="175" t="s">
        <v>64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7"/>
    </row>
    <row r="26" spans="1:14" ht="18" customHeight="1" x14ac:dyDescent="0.25">
      <c r="A26" s="179" t="s">
        <v>65</v>
      </c>
      <c r="B26" s="179"/>
      <c r="C26" s="2"/>
      <c r="D26" s="2"/>
      <c r="E26" s="2"/>
      <c r="F26" s="2"/>
      <c r="G26" s="2"/>
      <c r="H26" s="2"/>
      <c r="I26" s="179"/>
      <c r="J26" s="2"/>
      <c r="N26" s="180"/>
    </row>
    <row r="27" spans="1:14" ht="34.5" x14ac:dyDescent="0.25">
      <c r="A27" s="3" t="s">
        <v>11</v>
      </c>
      <c r="B27" s="3" t="s">
        <v>12</v>
      </c>
      <c r="C27" s="3" t="s">
        <v>13</v>
      </c>
      <c r="D27" s="4" t="s">
        <v>14</v>
      </c>
      <c r="E27" s="5" t="s">
        <v>15</v>
      </c>
      <c r="F27" s="6" t="s">
        <v>16</v>
      </c>
      <c r="G27" s="7"/>
      <c r="H27" s="7"/>
      <c r="I27" s="7"/>
      <c r="J27" s="7"/>
      <c r="K27" s="7"/>
      <c r="L27" s="7"/>
      <c r="M27" s="7"/>
      <c r="N27" s="3" t="s">
        <v>17</v>
      </c>
    </row>
    <row r="28" spans="1:14" ht="18" customHeight="1" x14ac:dyDescent="0.25">
      <c r="A28" s="8" t="s">
        <v>66</v>
      </c>
      <c r="B28" s="9" t="s">
        <v>67</v>
      </c>
      <c r="C28" s="9" t="s">
        <v>20</v>
      </c>
      <c r="D28" s="9" t="s">
        <v>21</v>
      </c>
      <c r="E28" s="10" t="s">
        <v>68</v>
      </c>
      <c r="F28" s="182" t="s">
        <v>69</v>
      </c>
      <c r="G28" s="183"/>
      <c r="H28" s="183"/>
      <c r="I28" s="183"/>
      <c r="J28" s="183"/>
      <c r="K28" s="183"/>
      <c r="L28" s="183"/>
      <c r="M28" s="183"/>
      <c r="N28" s="15" t="s">
        <v>70</v>
      </c>
    </row>
    <row r="29" spans="1:14" ht="18" customHeight="1" x14ac:dyDescent="0.25">
      <c r="A29" s="184"/>
      <c r="B29" s="11" t="s">
        <v>71</v>
      </c>
      <c r="C29" s="11" t="s">
        <v>20</v>
      </c>
      <c r="D29" s="11" t="s">
        <v>21</v>
      </c>
      <c r="E29" s="12" t="s">
        <v>68</v>
      </c>
      <c r="F29" s="13" t="s">
        <v>72</v>
      </c>
      <c r="G29" s="14"/>
      <c r="H29" s="14"/>
      <c r="I29" s="14"/>
      <c r="J29" s="14"/>
      <c r="K29" s="14"/>
      <c r="L29" s="14"/>
      <c r="M29" s="14"/>
      <c r="N29" s="22" t="s">
        <v>73</v>
      </c>
    </row>
    <row r="30" spans="1:14" ht="18" customHeight="1" x14ac:dyDescent="0.25">
      <c r="A30" s="184"/>
      <c r="B30" s="15" t="s">
        <v>74</v>
      </c>
      <c r="C30" s="15" t="s">
        <v>37</v>
      </c>
      <c r="D30" s="15" t="s">
        <v>21</v>
      </c>
      <c r="E30" s="16" t="s">
        <v>21</v>
      </c>
      <c r="F30" s="185" t="s">
        <v>75</v>
      </c>
      <c r="G30" s="186"/>
      <c r="H30" s="186"/>
      <c r="I30" s="186"/>
      <c r="J30" s="186"/>
      <c r="K30" s="186"/>
      <c r="L30" s="186"/>
      <c r="M30" s="186"/>
      <c r="N30" s="184"/>
    </row>
    <row r="31" spans="1:14" ht="18" customHeight="1" x14ac:dyDescent="0.25">
      <c r="A31" s="184"/>
      <c r="B31" s="11" t="s">
        <v>76</v>
      </c>
      <c r="C31" s="11" t="s">
        <v>77</v>
      </c>
      <c r="D31" s="11" t="s">
        <v>21</v>
      </c>
      <c r="E31" s="12" t="s">
        <v>21</v>
      </c>
      <c r="F31" s="13" t="s">
        <v>78</v>
      </c>
      <c r="G31" s="14"/>
      <c r="H31" s="14"/>
      <c r="I31" s="14"/>
      <c r="J31" s="14"/>
      <c r="K31" s="14"/>
      <c r="L31" s="14"/>
      <c r="M31" s="14"/>
      <c r="N31" s="11"/>
    </row>
    <row r="32" spans="1:14" ht="18" customHeight="1" x14ac:dyDescent="0.25">
      <c r="A32" s="184"/>
      <c r="B32" s="15" t="s">
        <v>79</v>
      </c>
      <c r="C32" s="15" t="s">
        <v>37</v>
      </c>
      <c r="D32" s="15" t="s">
        <v>21</v>
      </c>
      <c r="E32" s="16" t="s">
        <v>68</v>
      </c>
      <c r="F32" s="185" t="s">
        <v>80</v>
      </c>
      <c r="G32" s="186"/>
      <c r="H32" s="186"/>
      <c r="I32" s="186"/>
      <c r="J32" s="186"/>
      <c r="K32" s="186"/>
      <c r="L32" s="186"/>
      <c r="M32" s="186"/>
      <c r="N32" s="184"/>
    </row>
    <row r="33" spans="1:14" ht="18" customHeight="1" x14ac:dyDescent="0.25">
      <c r="A33" s="184"/>
      <c r="B33" s="11" t="s">
        <v>81</v>
      </c>
      <c r="C33" s="11" t="s">
        <v>37</v>
      </c>
      <c r="D33" s="11" t="s">
        <v>21</v>
      </c>
      <c r="E33" s="12" t="s">
        <v>68</v>
      </c>
      <c r="F33" s="13" t="s">
        <v>82</v>
      </c>
      <c r="G33" s="14"/>
      <c r="H33" s="14"/>
      <c r="I33" s="14"/>
      <c r="J33" s="14"/>
      <c r="K33" s="14"/>
      <c r="L33" s="14"/>
      <c r="M33" s="14"/>
      <c r="N33" s="11"/>
    </row>
    <row r="34" spans="1:14" ht="18" customHeight="1" x14ac:dyDescent="0.25">
      <c r="A34" s="184"/>
      <c r="B34" s="15" t="s">
        <v>83</v>
      </c>
      <c r="C34" s="15" t="s">
        <v>20</v>
      </c>
      <c r="D34" s="15" t="s">
        <v>21</v>
      </c>
      <c r="E34" s="16" t="s">
        <v>68</v>
      </c>
      <c r="F34" s="185" t="s">
        <v>84</v>
      </c>
      <c r="G34" s="186"/>
      <c r="H34" s="186"/>
      <c r="I34" s="186"/>
      <c r="J34" s="186"/>
      <c r="K34" s="186"/>
      <c r="L34" s="186"/>
      <c r="M34" s="186"/>
      <c r="N34" s="184"/>
    </row>
    <row r="35" spans="1:14" ht="18" customHeight="1" x14ac:dyDescent="0.25">
      <c r="A35" s="108"/>
      <c r="B35" s="23" t="s">
        <v>85</v>
      </c>
      <c r="C35" s="23" t="s">
        <v>86</v>
      </c>
      <c r="D35" s="23" t="s">
        <v>21</v>
      </c>
      <c r="E35" s="24" t="s">
        <v>68</v>
      </c>
      <c r="F35" s="25" t="s">
        <v>87</v>
      </c>
      <c r="G35" s="26"/>
      <c r="H35" s="26"/>
      <c r="I35" s="26"/>
      <c r="J35" s="26"/>
      <c r="K35" s="26"/>
      <c r="L35" s="26"/>
      <c r="M35" s="26"/>
      <c r="N35" s="28" t="s">
        <v>88</v>
      </c>
    </row>
    <row r="37" spans="1:14" ht="18" customHeight="1" x14ac:dyDescent="0.25">
      <c r="A37" s="175" t="s">
        <v>89</v>
      </c>
      <c r="B37" s="176"/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7"/>
    </row>
    <row r="38" spans="1:14" ht="18" customHeight="1" x14ac:dyDescent="0.25">
      <c r="A38" s="179" t="s">
        <v>90</v>
      </c>
      <c r="B38" s="179"/>
      <c r="C38" s="2"/>
      <c r="D38" s="2"/>
      <c r="E38" s="2"/>
      <c r="F38" s="2"/>
      <c r="G38" s="2"/>
      <c r="H38" s="2"/>
      <c r="I38" s="179"/>
      <c r="J38" s="2"/>
      <c r="N38" s="180"/>
    </row>
    <row r="39" spans="1:14" ht="34.5" x14ac:dyDescent="0.25">
      <c r="A39" s="3" t="s">
        <v>11</v>
      </c>
      <c r="B39" s="3" t="s">
        <v>12</v>
      </c>
      <c r="C39" s="3" t="s">
        <v>13</v>
      </c>
      <c r="D39" s="4" t="s">
        <v>14</v>
      </c>
      <c r="E39" s="5" t="s">
        <v>15</v>
      </c>
      <c r="F39" s="6" t="s">
        <v>16</v>
      </c>
      <c r="G39" s="7"/>
      <c r="H39" s="7"/>
      <c r="I39" s="7"/>
      <c r="J39" s="7"/>
      <c r="K39" s="7"/>
      <c r="L39" s="7"/>
      <c r="M39" s="7"/>
      <c r="N39" s="3" t="s">
        <v>17</v>
      </c>
    </row>
    <row r="40" spans="1:14" ht="18" customHeight="1" x14ac:dyDescent="0.25">
      <c r="A40" s="8" t="s">
        <v>91</v>
      </c>
      <c r="B40" s="9" t="s">
        <v>40</v>
      </c>
      <c r="C40" s="9" t="s">
        <v>92</v>
      </c>
      <c r="D40" s="9" t="s">
        <v>21</v>
      </c>
      <c r="E40" s="10" t="s">
        <v>68</v>
      </c>
      <c r="F40" s="182" t="s">
        <v>93</v>
      </c>
      <c r="G40" s="183"/>
      <c r="H40" s="183"/>
      <c r="I40" s="183"/>
      <c r="J40" s="183"/>
      <c r="K40" s="183"/>
      <c r="L40" s="183"/>
      <c r="M40" s="183"/>
      <c r="N40" s="27" t="s">
        <v>94</v>
      </c>
    </row>
    <row r="41" spans="1:14" ht="18" customHeight="1" x14ac:dyDescent="0.25">
      <c r="A41" s="184"/>
      <c r="B41" s="11" t="s">
        <v>95</v>
      </c>
      <c r="C41" s="11" t="s">
        <v>96</v>
      </c>
      <c r="D41" s="11" t="s">
        <v>21</v>
      </c>
      <c r="E41" s="12" t="s">
        <v>21</v>
      </c>
      <c r="F41" s="13" t="s">
        <v>97</v>
      </c>
      <c r="G41" s="14"/>
      <c r="H41" s="14"/>
      <c r="I41" s="14"/>
      <c r="J41" s="14"/>
      <c r="K41" s="14"/>
      <c r="L41" s="14"/>
      <c r="M41" s="14"/>
      <c r="N41" s="22" t="s">
        <v>98</v>
      </c>
    </row>
    <row r="42" spans="1:14" ht="18" customHeight="1" x14ac:dyDescent="0.25">
      <c r="A42" s="184"/>
      <c r="B42" s="15" t="s">
        <v>34</v>
      </c>
      <c r="C42" s="15" t="s">
        <v>99</v>
      </c>
      <c r="D42" s="15" t="s">
        <v>21</v>
      </c>
      <c r="E42" s="16" t="s">
        <v>68</v>
      </c>
      <c r="F42" s="185" t="s">
        <v>100</v>
      </c>
      <c r="G42" s="186"/>
      <c r="H42" s="186"/>
      <c r="I42" s="186"/>
      <c r="J42" s="186"/>
      <c r="K42" s="186"/>
      <c r="L42" s="186"/>
      <c r="M42" s="186"/>
      <c r="N42" s="27" t="s">
        <v>101</v>
      </c>
    </row>
    <row r="43" spans="1:14" ht="18" customHeight="1" x14ac:dyDescent="0.25">
      <c r="A43" s="184"/>
      <c r="B43" s="11" t="s">
        <v>102</v>
      </c>
      <c r="C43" s="11" t="s">
        <v>99</v>
      </c>
      <c r="D43" s="11" t="s">
        <v>21</v>
      </c>
      <c r="E43" s="12" t="s">
        <v>21</v>
      </c>
      <c r="F43" s="13" t="s">
        <v>103</v>
      </c>
      <c r="G43" s="14"/>
      <c r="H43" s="14"/>
      <c r="I43" s="14"/>
      <c r="J43" s="14"/>
      <c r="K43" s="14"/>
      <c r="L43" s="14"/>
      <c r="M43" s="14"/>
      <c r="N43" s="11"/>
    </row>
    <row r="44" spans="1:14" ht="18" customHeight="1" x14ac:dyDescent="0.25">
      <c r="A44" s="184"/>
      <c r="B44" s="15" t="s">
        <v>104</v>
      </c>
      <c r="C44" s="15" t="s">
        <v>99</v>
      </c>
      <c r="D44" s="15" t="s">
        <v>21</v>
      </c>
      <c r="E44" s="16" t="s">
        <v>21</v>
      </c>
      <c r="F44" s="185" t="s">
        <v>105</v>
      </c>
      <c r="G44" s="186"/>
      <c r="H44" s="186"/>
      <c r="I44" s="186"/>
      <c r="J44" s="186"/>
      <c r="K44" s="186"/>
      <c r="L44" s="186"/>
      <c r="M44" s="186"/>
      <c r="N44" s="184"/>
    </row>
    <row r="45" spans="1:14" ht="18" customHeight="1" x14ac:dyDescent="0.25">
      <c r="A45" s="184"/>
      <c r="B45" s="11" t="s">
        <v>106</v>
      </c>
      <c r="C45" s="11" t="s">
        <v>107</v>
      </c>
      <c r="D45" s="11" t="s">
        <v>21</v>
      </c>
      <c r="E45" s="12" t="s">
        <v>21</v>
      </c>
      <c r="F45" s="13" t="s">
        <v>97</v>
      </c>
      <c r="G45" s="14"/>
      <c r="H45" s="14"/>
      <c r="I45" s="14"/>
      <c r="J45" s="14"/>
      <c r="K45" s="14"/>
      <c r="L45" s="14"/>
      <c r="M45" s="14"/>
      <c r="N45" s="22" t="str">
        <f>$N$41</f>
        <v>VARIABLES_ID =&gt;</v>
      </c>
    </row>
    <row r="46" spans="1:14" ht="18" customHeight="1" x14ac:dyDescent="0.25">
      <c r="A46" s="184"/>
      <c r="B46" s="15" t="s">
        <v>37</v>
      </c>
      <c r="C46" s="15" t="s">
        <v>108</v>
      </c>
      <c r="D46" s="15" t="s">
        <v>21</v>
      </c>
      <c r="E46" s="16" t="s">
        <v>68</v>
      </c>
      <c r="F46" s="185" t="s">
        <v>109</v>
      </c>
      <c r="G46" s="186"/>
      <c r="H46" s="186"/>
      <c r="I46" s="186"/>
      <c r="J46" s="186"/>
      <c r="K46" s="186"/>
      <c r="L46" s="186"/>
      <c r="M46" s="186"/>
      <c r="N46" s="27" t="s">
        <v>110</v>
      </c>
    </row>
    <row r="47" spans="1:14" ht="18" customHeight="1" x14ac:dyDescent="0.25">
      <c r="A47" s="184"/>
      <c r="B47" s="11" t="s">
        <v>111</v>
      </c>
      <c r="C47" s="11" t="s">
        <v>108</v>
      </c>
      <c r="D47" s="11" t="s">
        <v>21</v>
      </c>
      <c r="E47" s="12" t="s">
        <v>21</v>
      </c>
      <c r="F47" s="13" t="s">
        <v>112</v>
      </c>
      <c r="G47" s="14"/>
      <c r="H47" s="14"/>
      <c r="I47" s="14"/>
      <c r="J47" s="14"/>
      <c r="K47" s="14"/>
      <c r="L47" s="14"/>
      <c r="M47" s="14"/>
      <c r="N47" s="11"/>
    </row>
    <row r="48" spans="1:14" ht="18" customHeight="1" x14ac:dyDescent="0.25">
      <c r="A48" s="184"/>
      <c r="B48" s="15" t="s">
        <v>113</v>
      </c>
      <c r="C48" s="15" t="s">
        <v>108</v>
      </c>
      <c r="D48" s="15"/>
      <c r="E48" s="16" t="s">
        <v>21</v>
      </c>
      <c r="F48" s="185" t="s">
        <v>105</v>
      </c>
      <c r="G48" s="186"/>
      <c r="H48" s="186"/>
      <c r="I48" s="186"/>
      <c r="J48" s="186"/>
      <c r="K48" s="186"/>
      <c r="L48" s="186"/>
      <c r="M48" s="186"/>
      <c r="N48" s="184"/>
    </row>
    <row r="49" spans="1:14" ht="18" customHeight="1" x14ac:dyDescent="0.25">
      <c r="A49" s="108"/>
      <c r="B49" s="23" t="s">
        <v>114</v>
      </c>
      <c r="C49" s="23" t="s">
        <v>115</v>
      </c>
      <c r="D49" s="23"/>
      <c r="E49" s="24" t="s">
        <v>21</v>
      </c>
      <c r="F49" s="25" t="s">
        <v>97</v>
      </c>
      <c r="G49" s="26"/>
      <c r="H49" s="26"/>
      <c r="I49" s="26"/>
      <c r="J49" s="26"/>
      <c r="K49" s="26"/>
      <c r="L49" s="26"/>
      <c r="M49" s="26"/>
      <c r="N49" s="28" t="s">
        <v>98</v>
      </c>
    </row>
    <row r="51" spans="1:14" ht="18" customHeight="1" x14ac:dyDescent="0.25">
      <c r="A51" s="175" t="s">
        <v>116</v>
      </c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7"/>
    </row>
    <row r="52" spans="1:14" ht="18" customHeight="1" x14ac:dyDescent="0.25">
      <c r="A52" s="179" t="s">
        <v>117</v>
      </c>
      <c r="B52" s="179"/>
      <c r="C52" s="2"/>
      <c r="D52" s="2"/>
      <c r="E52" s="2"/>
      <c r="F52" s="2"/>
      <c r="G52" s="2"/>
      <c r="H52" s="2"/>
      <c r="I52" s="179"/>
      <c r="J52" s="2"/>
      <c r="N52" s="180"/>
    </row>
    <row r="53" spans="1:14" ht="34.5" x14ac:dyDescent="0.25">
      <c r="A53" s="3" t="s">
        <v>11</v>
      </c>
      <c r="B53" s="3" t="s">
        <v>12</v>
      </c>
      <c r="C53" s="3" t="s">
        <v>13</v>
      </c>
      <c r="D53" s="4" t="s">
        <v>14</v>
      </c>
      <c r="E53" s="5" t="s">
        <v>15</v>
      </c>
      <c r="F53" s="6" t="s">
        <v>16</v>
      </c>
      <c r="G53" s="7"/>
      <c r="H53" s="7"/>
      <c r="I53" s="7"/>
      <c r="J53" s="7"/>
      <c r="K53" s="7"/>
      <c r="L53" s="7"/>
      <c r="M53" s="7"/>
      <c r="N53" s="3" t="s">
        <v>17</v>
      </c>
    </row>
    <row r="54" spans="1:14" ht="18" customHeight="1" x14ac:dyDescent="0.25">
      <c r="A54" s="8" t="s">
        <v>118</v>
      </c>
      <c r="B54" s="167" t="s">
        <v>435</v>
      </c>
      <c r="C54" s="167" t="s">
        <v>449</v>
      </c>
      <c r="D54" s="167" t="s">
        <v>21</v>
      </c>
      <c r="E54" s="10" t="s">
        <v>21</v>
      </c>
      <c r="F54" s="173" t="s">
        <v>453</v>
      </c>
      <c r="G54" s="183"/>
      <c r="H54" s="183"/>
      <c r="I54" s="183"/>
      <c r="J54" s="183"/>
      <c r="K54" s="183"/>
      <c r="L54" s="183"/>
      <c r="M54" s="183"/>
      <c r="N54" s="27"/>
    </row>
    <row r="55" spans="1:14" ht="18" customHeight="1" x14ac:dyDescent="0.25">
      <c r="A55" s="184"/>
      <c r="B55" s="168" t="s">
        <v>436</v>
      </c>
      <c r="C55" s="168" t="s">
        <v>450</v>
      </c>
      <c r="D55" s="11" t="s">
        <v>21</v>
      </c>
      <c r="E55" s="12" t="s">
        <v>21</v>
      </c>
      <c r="F55" s="172" t="s">
        <v>452</v>
      </c>
      <c r="G55" s="14"/>
      <c r="H55" s="14"/>
      <c r="I55" s="14"/>
      <c r="J55" s="14"/>
      <c r="K55" s="14"/>
      <c r="L55" s="14"/>
      <c r="M55" s="14"/>
      <c r="N55" s="22"/>
    </row>
    <row r="56" spans="1:14" ht="18" customHeight="1" x14ac:dyDescent="0.25">
      <c r="A56" s="184"/>
      <c r="B56" s="169" t="s">
        <v>437</v>
      </c>
      <c r="C56" s="15" t="s">
        <v>449</v>
      </c>
      <c r="D56" s="15" t="s">
        <v>21</v>
      </c>
      <c r="E56" s="16" t="s">
        <v>21</v>
      </c>
      <c r="F56" s="174" t="s">
        <v>454</v>
      </c>
      <c r="G56" s="186"/>
      <c r="H56" s="186"/>
      <c r="I56" s="186"/>
      <c r="J56" s="186"/>
      <c r="K56" s="186"/>
      <c r="L56" s="186"/>
      <c r="M56" s="186"/>
      <c r="N56" s="27"/>
    </row>
    <row r="57" spans="1:14" ht="18" customHeight="1" x14ac:dyDescent="0.25">
      <c r="A57" s="184"/>
      <c r="B57" s="168" t="s">
        <v>438</v>
      </c>
      <c r="C57" s="11" t="s">
        <v>449</v>
      </c>
      <c r="D57" s="11" t="s">
        <v>21</v>
      </c>
      <c r="E57" s="12" t="s">
        <v>21</v>
      </c>
      <c r="F57" s="172" t="s">
        <v>455</v>
      </c>
      <c r="G57" s="14"/>
      <c r="H57" s="14"/>
      <c r="I57" s="14"/>
      <c r="J57" s="14"/>
      <c r="K57" s="14"/>
      <c r="L57" s="14"/>
      <c r="M57" s="14"/>
      <c r="N57" s="11"/>
    </row>
    <row r="58" spans="1:14" ht="18" customHeight="1" x14ac:dyDescent="0.25">
      <c r="A58" s="184"/>
      <c r="B58" s="169" t="s">
        <v>439</v>
      </c>
      <c r="C58" s="15" t="s">
        <v>450</v>
      </c>
      <c r="D58" s="15" t="s">
        <v>21</v>
      </c>
      <c r="E58" s="16" t="s">
        <v>21</v>
      </c>
      <c r="F58" s="174" t="s">
        <v>456</v>
      </c>
      <c r="G58" s="186"/>
      <c r="H58" s="186"/>
      <c r="I58" s="186"/>
      <c r="J58" s="186"/>
      <c r="K58" s="186"/>
      <c r="L58" s="186"/>
      <c r="M58" s="186"/>
      <c r="N58" s="184"/>
    </row>
    <row r="59" spans="1:14" ht="18" customHeight="1" x14ac:dyDescent="0.25">
      <c r="A59" s="184"/>
      <c r="B59" s="168" t="s">
        <v>440</v>
      </c>
      <c r="C59" s="11" t="s">
        <v>450</v>
      </c>
      <c r="D59" s="11" t="s">
        <v>21</v>
      </c>
      <c r="E59" s="12" t="s">
        <v>21</v>
      </c>
      <c r="F59" s="172" t="s">
        <v>457</v>
      </c>
      <c r="G59" s="14"/>
      <c r="H59" s="14"/>
      <c r="I59" s="14"/>
      <c r="J59" s="14"/>
      <c r="K59" s="14"/>
      <c r="L59" s="14"/>
      <c r="M59" s="14"/>
      <c r="N59" s="22"/>
    </row>
    <row r="60" spans="1:14" ht="18" customHeight="1" x14ac:dyDescent="0.25">
      <c r="A60" s="184"/>
      <c r="B60" s="169" t="s">
        <v>441</v>
      </c>
      <c r="C60" s="169" t="s">
        <v>451</v>
      </c>
      <c r="D60" s="15" t="s">
        <v>21</v>
      </c>
      <c r="E60" s="171" t="s">
        <v>68</v>
      </c>
      <c r="F60" s="174" t="s">
        <v>458</v>
      </c>
      <c r="G60" s="186"/>
      <c r="H60" s="186"/>
      <c r="I60" s="186"/>
      <c r="J60" s="186"/>
      <c r="K60" s="186"/>
      <c r="L60" s="186"/>
      <c r="M60" s="186"/>
      <c r="N60" s="27"/>
    </row>
    <row r="61" spans="1:14" ht="18" customHeight="1" x14ac:dyDescent="0.25">
      <c r="A61" s="184"/>
      <c r="B61" s="168" t="s">
        <v>442</v>
      </c>
      <c r="C61" s="11" t="s">
        <v>451</v>
      </c>
      <c r="D61" s="11" t="s">
        <v>21</v>
      </c>
      <c r="E61" s="12" t="s">
        <v>68</v>
      </c>
      <c r="F61" s="172" t="s">
        <v>459</v>
      </c>
      <c r="G61" s="14"/>
      <c r="H61" s="14"/>
      <c r="I61" s="14"/>
      <c r="J61" s="14"/>
      <c r="K61" s="14"/>
      <c r="L61" s="14"/>
      <c r="M61" s="14"/>
      <c r="N61" s="11"/>
    </row>
    <row r="62" spans="1:14" ht="18" customHeight="1" x14ac:dyDescent="0.25">
      <c r="A62" s="184"/>
      <c r="B62" s="169" t="s">
        <v>443</v>
      </c>
      <c r="C62" s="15" t="s">
        <v>451</v>
      </c>
      <c r="D62" s="15" t="s">
        <v>21</v>
      </c>
      <c r="E62" s="16" t="s">
        <v>68</v>
      </c>
      <c r="F62" s="174" t="s">
        <v>460</v>
      </c>
      <c r="G62" s="186"/>
      <c r="H62" s="186"/>
      <c r="I62" s="186"/>
      <c r="J62" s="186"/>
      <c r="K62" s="186"/>
      <c r="L62" s="186"/>
      <c r="M62" s="186"/>
      <c r="N62" s="27"/>
    </row>
    <row r="63" spans="1:14" ht="18" customHeight="1" x14ac:dyDescent="0.25">
      <c r="A63" s="184"/>
      <c r="B63" s="168" t="s">
        <v>444</v>
      </c>
      <c r="C63" s="11" t="s">
        <v>451</v>
      </c>
      <c r="D63" s="11" t="s">
        <v>21</v>
      </c>
      <c r="E63" s="12" t="s">
        <v>68</v>
      </c>
      <c r="F63" s="172" t="s">
        <v>461</v>
      </c>
      <c r="G63" s="14"/>
      <c r="H63" s="14"/>
      <c r="I63" s="14"/>
      <c r="J63" s="14"/>
      <c r="K63" s="14"/>
      <c r="L63" s="14"/>
      <c r="M63" s="14"/>
      <c r="N63" s="11"/>
    </row>
    <row r="64" spans="1:14" ht="18" customHeight="1" x14ac:dyDescent="0.25">
      <c r="A64" s="184"/>
      <c r="B64" s="169" t="s">
        <v>445</v>
      </c>
      <c r="C64" s="15" t="s">
        <v>451</v>
      </c>
      <c r="D64" s="15" t="s">
        <v>21</v>
      </c>
      <c r="E64" s="16" t="s">
        <v>68</v>
      </c>
      <c r="F64" s="174" t="s">
        <v>462</v>
      </c>
      <c r="G64" s="186"/>
      <c r="H64" s="186"/>
      <c r="I64" s="186"/>
      <c r="J64" s="186"/>
      <c r="K64" s="186"/>
      <c r="L64" s="186"/>
      <c r="M64" s="186"/>
      <c r="N64" s="184"/>
    </row>
    <row r="65" spans="1:14" ht="18" customHeight="1" x14ac:dyDescent="0.25">
      <c r="A65" s="184"/>
      <c r="B65" s="168" t="s">
        <v>446</v>
      </c>
      <c r="C65" s="11" t="s">
        <v>451</v>
      </c>
      <c r="D65" s="11" t="s">
        <v>21</v>
      </c>
      <c r="E65" s="12" t="s">
        <v>68</v>
      </c>
      <c r="F65" s="172" t="s">
        <v>463</v>
      </c>
      <c r="G65" s="14"/>
      <c r="H65" s="14"/>
      <c r="I65" s="14"/>
      <c r="J65" s="14"/>
      <c r="K65" s="14"/>
      <c r="L65" s="14"/>
      <c r="M65" s="14"/>
      <c r="N65" s="22"/>
    </row>
    <row r="66" spans="1:14" ht="18" customHeight="1" x14ac:dyDescent="0.25">
      <c r="A66" s="184"/>
      <c r="B66" s="169" t="s">
        <v>447</v>
      </c>
      <c r="C66" s="15" t="s">
        <v>451</v>
      </c>
      <c r="D66" s="15" t="s">
        <v>21</v>
      </c>
      <c r="E66" s="16" t="s">
        <v>68</v>
      </c>
      <c r="F66" s="174" t="s">
        <v>464</v>
      </c>
      <c r="G66" s="186"/>
      <c r="H66" s="186"/>
      <c r="I66" s="186"/>
      <c r="J66" s="186"/>
      <c r="K66" s="186"/>
      <c r="L66" s="186"/>
      <c r="M66" s="186"/>
      <c r="N66" s="184"/>
    </row>
    <row r="67" spans="1:14" ht="18" customHeight="1" x14ac:dyDescent="0.25">
      <c r="A67" s="108"/>
      <c r="B67" s="170" t="s">
        <v>448</v>
      </c>
      <c r="C67" s="23" t="s">
        <v>451</v>
      </c>
      <c r="D67" s="23" t="s">
        <v>21</v>
      </c>
      <c r="E67" s="24" t="s">
        <v>68</v>
      </c>
      <c r="F67" s="188" t="s">
        <v>465</v>
      </c>
      <c r="G67" s="26"/>
      <c r="H67" s="26"/>
      <c r="I67" s="26"/>
      <c r="J67" s="26"/>
      <c r="K67" s="26"/>
      <c r="L67" s="26"/>
      <c r="M67" s="26"/>
      <c r="N67" s="28"/>
    </row>
  </sheetData>
  <hyperlinks>
    <hyperlink ref="N4" r:id="rId1" location="MASKS_ID!A1"/>
    <hyperlink ref="N17" r:id="rId2" location="PARAMETERS!A1"/>
    <hyperlink ref="N19" r:id="rId3" location="MAIN_MENU!A1"/>
    <hyperlink ref="N35" r:id="rId4" location="'КОДЫ IO'!A1"/>
    <hyperlink ref="N29" location="IO_LIST!O1" display="Список =&gt;"/>
    <hyperlink ref="N40" r:id="rId5" location="PARAMETERS!A1"/>
    <hyperlink ref="N46" r:id="rId6" location="PARAMETERS!A1"/>
    <hyperlink ref="N41" r:id="rId7" location="VARIABLES_ID!A1"/>
    <hyperlink ref="N45" r:id="rId8" location="VARIABLES_ID!A1" display="..\Universal_Параметры.xlsm - VARIABLES_ID!A1"/>
    <hyperlink ref="N49" r:id="rId9" location="VARIABLES_ID!A1"/>
    <hyperlink ref="N18" r:id="rId10" location="PARAMETERS!A1"/>
    <hyperlink ref="N42" r:id="rId11" location="PARAMETERS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Y280"/>
  <sheetViews>
    <sheetView tabSelected="1" topLeftCell="A10" workbookViewId="0">
      <selection activeCell="O29" sqref="O29"/>
    </sheetView>
  </sheetViews>
  <sheetFormatPr defaultRowHeight="15.75" x14ac:dyDescent="0.25"/>
  <cols>
    <col min="1" max="1" width="11.125" style="1" customWidth="1"/>
    <col min="2" max="2" width="13.875" style="1" customWidth="1"/>
    <col min="3" max="3" width="12.5" style="2" bestFit="1" customWidth="1"/>
    <col min="4" max="4" width="8.875" style="2" bestFit="1" customWidth="1"/>
    <col min="5" max="5" width="29.875" style="2" customWidth="1"/>
    <col min="6" max="6" width="11" style="2" bestFit="1" customWidth="1"/>
    <col min="7" max="7" width="8.875" style="2" bestFit="1" customWidth="1"/>
    <col min="8" max="8" width="10.25" style="1" customWidth="1"/>
    <col min="9" max="9" width="19.25" style="2" customWidth="1"/>
    <col min="10" max="10" width="20.125" style="1" customWidth="1"/>
    <col min="11" max="11" width="9" style="1"/>
    <col min="12" max="12" width="13.25" style="1" customWidth="1"/>
    <col min="13" max="15" width="9" style="1"/>
    <col min="16" max="16" width="7.75" style="1" customWidth="1"/>
    <col min="17" max="20" width="9" style="1"/>
    <col min="21" max="21" width="11" style="1" customWidth="1"/>
    <col min="22" max="23" width="9" style="1"/>
    <col min="24" max="24" width="9.875" style="1" bestFit="1" customWidth="1"/>
    <col min="25" max="16384" width="9" style="1"/>
  </cols>
  <sheetData>
    <row r="1" spans="1:25" x14ac:dyDescent="0.25">
      <c r="A1" s="199" t="s">
        <v>137</v>
      </c>
      <c r="B1" s="200"/>
      <c r="C1" s="200"/>
      <c r="D1" s="200"/>
      <c r="E1" s="200"/>
      <c r="F1" s="200"/>
      <c r="G1" s="200"/>
      <c r="H1" s="200"/>
      <c r="I1" s="71" t="s">
        <v>138</v>
      </c>
      <c r="J1" s="17"/>
      <c r="K1" s="17"/>
      <c r="L1" s="17"/>
      <c r="M1" s="17"/>
      <c r="N1" s="17"/>
      <c r="O1" s="17"/>
      <c r="P1" s="17"/>
      <c r="Q1" s="17"/>
      <c r="R1" s="72"/>
    </row>
    <row r="2" spans="1:25" x14ac:dyDescent="0.25">
      <c r="A2" s="73"/>
      <c r="B2" s="17"/>
      <c r="C2" s="29"/>
      <c r="D2" s="29"/>
      <c r="E2" s="29"/>
      <c r="F2" s="29"/>
      <c r="G2" s="29"/>
      <c r="H2" s="17"/>
      <c r="I2" s="74"/>
      <c r="J2" s="17"/>
      <c r="K2" s="17"/>
      <c r="L2" s="17"/>
      <c r="M2" s="17"/>
      <c r="N2" s="17"/>
      <c r="O2" s="17"/>
      <c r="P2" s="17"/>
      <c r="Q2" s="17"/>
      <c r="R2" s="75"/>
    </row>
    <row r="3" spans="1:25" x14ac:dyDescent="0.25">
      <c r="A3" s="73"/>
      <c r="B3" s="17"/>
      <c r="C3" s="29"/>
      <c r="D3" s="29"/>
      <c r="E3" s="29"/>
      <c r="F3" s="29"/>
      <c r="G3" s="29"/>
      <c r="H3" s="30" t="s">
        <v>119</v>
      </c>
      <c r="I3" s="31" t="s">
        <v>120</v>
      </c>
      <c r="J3" s="32" t="s">
        <v>121</v>
      </c>
      <c r="K3" s="17"/>
      <c r="L3" s="17"/>
      <c r="M3" s="17"/>
      <c r="N3" s="17"/>
      <c r="O3" s="17"/>
      <c r="P3" s="17"/>
      <c r="Q3" s="17"/>
      <c r="R3" s="75"/>
    </row>
    <row r="4" spans="1:25" ht="15" customHeight="1" x14ac:dyDescent="0.25">
      <c r="A4" s="73"/>
      <c r="B4" s="17"/>
      <c r="C4" s="207" t="s">
        <v>91</v>
      </c>
      <c r="D4" s="208"/>
      <c r="E4" s="209"/>
      <c r="F4" s="29"/>
      <c r="G4" s="29"/>
      <c r="H4" s="17">
        <v>0</v>
      </c>
      <c r="I4" s="33">
        <v>1</v>
      </c>
      <c r="J4" s="34" t="s">
        <v>122</v>
      </c>
      <c r="K4" s="34"/>
      <c r="L4" s="34"/>
      <c r="M4" s="17" t="s">
        <v>139</v>
      </c>
      <c r="N4" s="17"/>
      <c r="O4" s="17"/>
      <c r="P4" s="43"/>
      <c r="Q4" s="17"/>
      <c r="R4" s="75"/>
    </row>
    <row r="5" spans="1:25" ht="15" customHeight="1" x14ac:dyDescent="0.25">
      <c r="A5" s="73"/>
      <c r="B5" s="17" t="s">
        <v>120</v>
      </c>
      <c r="C5" s="35" t="s">
        <v>40</v>
      </c>
      <c r="D5" s="36" t="s">
        <v>34</v>
      </c>
      <c r="E5" s="37" t="s">
        <v>37</v>
      </c>
      <c r="F5" s="29"/>
      <c r="G5" s="29"/>
      <c r="H5" s="17">
        <v>1</v>
      </c>
      <c r="I5" s="33">
        <v>0</v>
      </c>
      <c r="J5" s="34"/>
      <c r="K5" s="34"/>
      <c r="L5" s="34"/>
      <c r="M5" s="17" t="s">
        <v>140</v>
      </c>
      <c r="N5" s="17"/>
      <c r="O5" s="17"/>
      <c r="P5" s="17"/>
      <c r="Q5" s="17"/>
      <c r="R5" s="75"/>
    </row>
    <row r="6" spans="1:25" ht="15" customHeight="1" x14ac:dyDescent="0.25">
      <c r="A6" s="73"/>
      <c r="B6" s="38">
        <v>1</v>
      </c>
      <c r="C6" s="39"/>
      <c r="D6" s="40"/>
      <c r="E6" s="41"/>
      <c r="F6" s="29"/>
      <c r="G6" s="29"/>
      <c r="H6" s="17">
        <v>2</v>
      </c>
      <c r="I6" s="33">
        <v>0</v>
      </c>
      <c r="J6" s="34"/>
      <c r="K6" s="34"/>
      <c r="L6" s="34"/>
      <c r="M6" s="17" t="s">
        <v>141</v>
      </c>
      <c r="N6" s="17"/>
      <c r="O6" s="17"/>
      <c r="P6" s="17"/>
      <c r="Q6" s="17"/>
      <c r="R6" s="75"/>
    </row>
    <row r="7" spans="1:25" ht="15" customHeight="1" x14ac:dyDescent="0.25">
      <c r="B7" s="38">
        <v>2</v>
      </c>
      <c r="C7" s="39"/>
      <c r="D7" s="40"/>
      <c r="E7" s="41"/>
      <c r="F7" s="29"/>
      <c r="G7" s="29"/>
      <c r="H7" s="17">
        <v>3</v>
      </c>
      <c r="I7" s="33">
        <v>1</v>
      </c>
      <c r="J7" s="34"/>
      <c r="K7" s="34"/>
      <c r="L7" s="34"/>
      <c r="M7" s="17" t="s">
        <v>142</v>
      </c>
      <c r="N7" s="17"/>
      <c r="O7" s="17"/>
      <c r="P7" s="17"/>
      <c r="Q7" s="17"/>
      <c r="R7" s="75"/>
    </row>
    <row r="8" spans="1:25" ht="15" customHeight="1" x14ac:dyDescent="0.25">
      <c r="A8" s="29"/>
      <c r="B8" s="38">
        <v>3</v>
      </c>
      <c r="C8" s="42"/>
      <c r="D8" s="40"/>
      <c r="E8" s="41"/>
      <c r="F8" s="29"/>
      <c r="G8" s="29"/>
      <c r="H8" s="17">
        <v>4</v>
      </c>
      <c r="I8" s="33">
        <v>0</v>
      </c>
      <c r="J8" s="34"/>
      <c r="K8" s="34"/>
      <c r="L8" s="34"/>
      <c r="M8" s="17"/>
      <c r="N8" s="17"/>
      <c r="O8" s="17"/>
      <c r="P8" s="17"/>
      <c r="Q8" s="17"/>
      <c r="R8" s="75"/>
    </row>
    <row r="9" spans="1:25" ht="15" customHeight="1" x14ac:dyDescent="0.25">
      <c r="A9" s="73"/>
      <c r="B9" s="38">
        <v>4</v>
      </c>
      <c r="C9" s="42"/>
      <c r="D9" s="40"/>
      <c r="E9" s="41"/>
      <c r="F9" s="29"/>
      <c r="G9" s="29"/>
      <c r="H9" s="17">
        <v>5</v>
      </c>
      <c r="I9" s="33">
        <v>0</v>
      </c>
      <c r="J9" s="34"/>
      <c r="K9" s="34"/>
      <c r="L9" s="34"/>
      <c r="M9" s="17"/>
      <c r="N9" s="17"/>
      <c r="O9" s="17"/>
      <c r="P9" s="17"/>
      <c r="Q9" s="17"/>
      <c r="R9" s="75"/>
    </row>
    <row r="10" spans="1:25" ht="15" customHeight="1" x14ac:dyDescent="0.25">
      <c r="A10" s="73"/>
      <c r="B10" s="38">
        <v>5</v>
      </c>
      <c r="C10" s="42"/>
      <c r="D10" s="40"/>
      <c r="E10" s="41"/>
      <c r="F10" s="29"/>
      <c r="G10" s="29"/>
      <c r="H10" s="17">
        <v>6</v>
      </c>
      <c r="I10" s="33">
        <v>0</v>
      </c>
      <c r="J10" s="34"/>
      <c r="K10" s="34"/>
      <c r="L10" s="34"/>
      <c r="M10" s="17"/>
      <c r="N10" s="17"/>
      <c r="O10" s="17"/>
      <c r="P10" s="17"/>
      <c r="Q10" s="17"/>
      <c r="R10" s="75"/>
    </row>
    <row r="11" spans="1:25" ht="15" customHeight="1" x14ac:dyDescent="0.25">
      <c r="A11" s="73"/>
      <c r="B11" s="38">
        <v>6</v>
      </c>
      <c r="C11" s="42"/>
      <c r="D11" s="40"/>
      <c r="E11" s="41"/>
      <c r="F11" s="29"/>
      <c r="G11" s="29"/>
      <c r="H11" s="43">
        <v>7</v>
      </c>
      <c r="I11" s="33">
        <v>0</v>
      </c>
      <c r="J11" s="34"/>
      <c r="K11" s="34"/>
      <c r="L11" s="34"/>
      <c r="M11" s="17"/>
      <c r="N11" s="17"/>
      <c r="O11" s="17"/>
      <c r="P11" s="17"/>
      <c r="Q11" s="17"/>
      <c r="R11" s="75"/>
    </row>
    <row r="12" spans="1:25" ht="15" customHeight="1" x14ac:dyDescent="0.25">
      <c r="A12" s="73"/>
      <c r="B12" s="38">
        <v>7</v>
      </c>
      <c r="C12" s="42"/>
      <c r="D12" s="40"/>
      <c r="E12" s="41"/>
      <c r="F12" s="29"/>
      <c r="G12" s="29"/>
      <c r="H12" s="17"/>
      <c r="I12" s="44"/>
      <c r="J12" s="17"/>
      <c r="K12" s="17"/>
      <c r="L12" s="17"/>
      <c r="M12" s="17"/>
      <c r="N12" s="17"/>
      <c r="O12" s="17"/>
      <c r="P12" s="17"/>
      <c r="Q12" s="17"/>
      <c r="R12" s="75"/>
    </row>
    <row r="13" spans="1:25" ht="15" customHeight="1" thickBot="1" x14ac:dyDescent="0.3">
      <c r="A13" s="73"/>
      <c r="B13" s="38">
        <v>8</v>
      </c>
      <c r="C13" s="45"/>
      <c r="D13" s="46"/>
      <c r="E13" s="47"/>
      <c r="F13" s="29"/>
      <c r="G13" s="29"/>
      <c r="H13" s="30" t="s">
        <v>119</v>
      </c>
      <c r="I13" s="48" t="s">
        <v>123</v>
      </c>
      <c r="J13" s="17"/>
      <c r="K13" s="17"/>
      <c r="L13" s="17"/>
      <c r="M13" s="17"/>
      <c r="N13" s="17"/>
      <c r="O13" s="17"/>
      <c r="P13" s="43"/>
      <c r="Q13" s="17"/>
      <c r="R13" s="75"/>
    </row>
    <row r="14" spans="1:25" ht="15" customHeight="1" thickBot="1" x14ac:dyDescent="0.3">
      <c r="A14" s="73"/>
      <c r="B14" s="49">
        <v>9</v>
      </c>
      <c r="C14" s="50"/>
      <c r="D14" s="51">
        <v>55</v>
      </c>
      <c r="E14" s="52"/>
      <c r="F14" s="29"/>
      <c r="G14" s="29"/>
      <c r="H14" s="17">
        <v>0</v>
      </c>
      <c r="I14" s="53">
        <v>1</v>
      </c>
      <c r="J14" s="34" t="s">
        <v>124</v>
      </c>
      <c r="K14" s="34"/>
      <c r="L14" s="34"/>
      <c r="M14" s="17"/>
      <c r="N14" s="17"/>
      <c r="O14" s="17"/>
      <c r="P14" s="17"/>
      <c r="Q14" s="17"/>
      <c r="R14" s="75"/>
    </row>
    <row r="15" spans="1:25" ht="15" customHeight="1" x14ac:dyDescent="0.25">
      <c r="A15" s="73"/>
      <c r="B15" s="38">
        <v>10</v>
      </c>
      <c r="C15" s="54"/>
      <c r="D15" s="55"/>
      <c r="E15" s="56"/>
      <c r="F15" s="29"/>
      <c r="G15" s="29"/>
      <c r="H15" s="17">
        <v>1</v>
      </c>
      <c r="I15" s="53">
        <v>0</v>
      </c>
      <c r="J15" s="34"/>
      <c r="K15" s="34"/>
      <c r="L15" s="34"/>
      <c r="M15" s="17" t="s">
        <v>143</v>
      </c>
      <c r="N15" s="17"/>
      <c r="O15" s="17"/>
      <c r="P15" s="17"/>
      <c r="Q15" s="17"/>
      <c r="R15" s="75"/>
      <c r="S15" s="76" t="s">
        <v>144</v>
      </c>
      <c r="Y15" s="77"/>
    </row>
    <row r="16" spans="1:25" ht="15.75" customHeight="1" x14ac:dyDescent="0.25">
      <c r="A16" s="73"/>
      <c r="B16" s="38">
        <v>11</v>
      </c>
      <c r="C16" s="42"/>
      <c r="D16" s="42"/>
      <c r="E16" s="41"/>
      <c r="F16" s="29"/>
      <c r="G16" s="29"/>
      <c r="H16" s="17">
        <v>2</v>
      </c>
      <c r="I16" s="53">
        <v>0</v>
      </c>
      <c r="J16" s="34"/>
      <c r="K16" s="34"/>
      <c r="L16" s="34"/>
      <c r="M16" s="17" t="s">
        <v>145</v>
      </c>
      <c r="N16" s="17"/>
      <c r="O16" s="17"/>
      <c r="P16" s="17"/>
      <c r="Q16" s="17"/>
      <c r="R16" s="75"/>
      <c r="S16" s="76" t="s">
        <v>146</v>
      </c>
    </row>
    <row r="17" spans="1:18" ht="15" customHeight="1" x14ac:dyDescent="0.25">
      <c r="A17" s="73"/>
      <c r="B17" s="38" t="s">
        <v>125</v>
      </c>
      <c r="C17" s="42"/>
      <c r="D17" s="42"/>
      <c r="E17" s="41"/>
      <c r="F17" s="29"/>
      <c r="G17" s="29"/>
      <c r="H17" s="17">
        <v>3</v>
      </c>
      <c r="I17" s="57">
        <v>0</v>
      </c>
      <c r="J17" s="34" t="s">
        <v>126</v>
      </c>
      <c r="K17" s="34"/>
      <c r="L17" s="34"/>
      <c r="M17" s="78" t="s">
        <v>147</v>
      </c>
      <c r="N17" s="17"/>
      <c r="O17" s="17"/>
      <c r="P17" s="17"/>
      <c r="Q17" s="17"/>
      <c r="R17" s="75"/>
    </row>
    <row r="18" spans="1:18" ht="15" customHeight="1" x14ac:dyDescent="0.25">
      <c r="A18" s="73"/>
      <c r="B18" s="38">
        <v>255</v>
      </c>
      <c r="C18" s="42"/>
      <c r="D18" s="42"/>
      <c r="E18" s="42"/>
      <c r="F18" s="29"/>
      <c r="G18" s="29"/>
      <c r="H18" s="17">
        <v>4</v>
      </c>
      <c r="I18" s="58">
        <v>1</v>
      </c>
      <c r="J18" s="34" t="s">
        <v>127</v>
      </c>
      <c r="K18" s="34"/>
      <c r="L18" s="34"/>
      <c r="M18" s="17" t="s">
        <v>148</v>
      </c>
      <c r="N18" s="17"/>
      <c r="O18" s="17"/>
      <c r="P18" s="17"/>
      <c r="Q18" s="17"/>
      <c r="R18" s="75"/>
    </row>
    <row r="19" spans="1:18" ht="15" customHeight="1" x14ac:dyDescent="0.25">
      <c r="A19" s="73"/>
      <c r="B19" s="30" t="s">
        <v>128</v>
      </c>
      <c r="C19" s="29" t="s">
        <v>129</v>
      </c>
      <c r="D19" s="29" t="s">
        <v>130</v>
      </c>
      <c r="E19" s="29" t="s">
        <v>131</v>
      </c>
      <c r="F19" s="29"/>
      <c r="G19" s="29"/>
      <c r="H19" s="17">
        <v>5</v>
      </c>
      <c r="I19" s="58">
        <v>0</v>
      </c>
      <c r="J19" s="34"/>
      <c r="K19" s="34"/>
      <c r="L19" s="34"/>
      <c r="M19" s="17" t="s">
        <v>149</v>
      </c>
      <c r="N19" s="17"/>
      <c r="O19" s="17"/>
      <c r="P19" s="17"/>
      <c r="Q19" s="17"/>
      <c r="R19" s="75"/>
    </row>
    <row r="20" spans="1:18" ht="15" customHeight="1" x14ac:dyDescent="0.25">
      <c r="A20" s="73"/>
      <c r="B20" s="17"/>
      <c r="C20" s="29"/>
      <c r="D20" s="29"/>
      <c r="E20" s="29"/>
      <c r="F20" s="29"/>
      <c r="G20" s="29"/>
      <c r="H20" s="17">
        <v>6</v>
      </c>
      <c r="I20" s="58">
        <v>1</v>
      </c>
      <c r="J20" s="34"/>
      <c r="K20" s="34"/>
      <c r="L20" s="34"/>
      <c r="M20" s="198" t="s">
        <v>481</v>
      </c>
      <c r="N20" s="17"/>
      <c r="O20" s="17"/>
      <c r="P20" s="17"/>
      <c r="Q20" s="17"/>
      <c r="R20" s="75"/>
    </row>
    <row r="21" spans="1:18" ht="15" customHeight="1" x14ac:dyDescent="0.25">
      <c r="E21" s="29"/>
      <c r="F21" s="29"/>
      <c r="G21" s="29"/>
      <c r="H21" s="43">
        <v>7</v>
      </c>
      <c r="I21" s="58">
        <v>0</v>
      </c>
      <c r="J21" s="34"/>
      <c r="K21" s="34"/>
      <c r="L21" s="34"/>
      <c r="M21" s="212" t="s">
        <v>698</v>
      </c>
      <c r="N21" s="17"/>
      <c r="O21" s="17"/>
      <c r="P21" s="17"/>
      <c r="Q21" s="17"/>
      <c r="R21" s="75"/>
    </row>
    <row r="22" spans="1:18" ht="15" customHeight="1" x14ac:dyDescent="0.25">
      <c r="A22" s="73"/>
      <c r="B22" s="17"/>
      <c r="C22" s="207" t="s">
        <v>132</v>
      </c>
      <c r="D22" s="208"/>
      <c r="E22" s="208"/>
      <c r="F22" s="209"/>
      <c r="G22" s="29"/>
      <c r="H22" s="17"/>
      <c r="I22" s="44"/>
      <c r="J22" s="17"/>
      <c r="K22" s="17"/>
      <c r="L22" s="17"/>
      <c r="M22" s="17"/>
      <c r="N22" s="17"/>
      <c r="O22" s="17"/>
      <c r="P22" s="17"/>
      <c r="Q22" s="17"/>
      <c r="R22" s="75"/>
    </row>
    <row r="23" spans="1:18" ht="15" customHeight="1" x14ac:dyDescent="0.25">
      <c r="A23" s="73"/>
      <c r="B23" s="17" t="s">
        <v>120</v>
      </c>
      <c r="C23" s="59" t="s">
        <v>111</v>
      </c>
      <c r="D23" s="60" t="s">
        <v>113</v>
      </c>
      <c r="E23" s="59" t="s">
        <v>102</v>
      </c>
      <c r="F23" s="60" t="s">
        <v>104</v>
      </c>
      <c r="G23" s="29"/>
      <c r="H23" s="30" t="s">
        <v>119</v>
      </c>
      <c r="I23" s="61" t="s">
        <v>133</v>
      </c>
      <c r="J23" s="17"/>
      <c r="K23" s="17"/>
      <c r="L23" s="17"/>
      <c r="M23" s="17"/>
      <c r="N23" s="17"/>
      <c r="O23" s="17"/>
      <c r="P23" s="17"/>
      <c r="Q23" s="17"/>
      <c r="R23" s="75"/>
    </row>
    <row r="24" spans="1:18" ht="15" customHeight="1" x14ac:dyDescent="0.25">
      <c r="A24" s="73"/>
      <c r="B24" s="38">
        <v>1</v>
      </c>
      <c r="C24" s="62"/>
      <c r="D24" s="63"/>
      <c r="E24" s="62"/>
      <c r="F24" s="63"/>
      <c r="G24" s="29"/>
      <c r="H24" s="17">
        <v>0</v>
      </c>
      <c r="I24" s="57"/>
      <c r="J24" s="17" t="s">
        <v>134</v>
      </c>
      <c r="K24" s="17"/>
      <c r="L24" s="17"/>
      <c r="M24" s="17"/>
      <c r="N24" s="17"/>
      <c r="O24" s="17"/>
      <c r="P24" s="17"/>
      <c r="Q24" s="17"/>
      <c r="R24" s="75"/>
    </row>
    <row r="25" spans="1:18" ht="15" customHeight="1" thickBot="1" x14ac:dyDescent="0.3">
      <c r="A25" s="73"/>
      <c r="B25" s="38">
        <v>2</v>
      </c>
      <c r="C25" s="64"/>
      <c r="D25" s="63"/>
      <c r="E25" s="62"/>
      <c r="F25" s="63"/>
      <c r="G25" s="29"/>
      <c r="H25" s="17">
        <v>1</v>
      </c>
      <c r="I25" s="57"/>
      <c r="J25" s="17" t="s">
        <v>135</v>
      </c>
      <c r="K25" s="17"/>
      <c r="L25" s="17"/>
      <c r="M25" s="17"/>
      <c r="N25" s="17"/>
      <c r="O25" s="17"/>
      <c r="P25" s="17"/>
      <c r="Q25" s="17"/>
      <c r="R25" s="75"/>
    </row>
    <row r="26" spans="1:18" ht="15" customHeight="1" thickBot="1" x14ac:dyDescent="0.3">
      <c r="A26" s="73"/>
      <c r="B26" s="65">
        <v>3</v>
      </c>
      <c r="C26" s="66" t="s">
        <v>136</v>
      </c>
      <c r="D26" s="67"/>
      <c r="E26" s="62"/>
      <c r="F26" s="63"/>
      <c r="G26" s="29"/>
      <c r="H26" s="17">
        <v>2</v>
      </c>
      <c r="I26" s="68"/>
      <c r="J26" s="17"/>
      <c r="K26" s="17"/>
      <c r="L26" s="17"/>
      <c r="M26" s="17"/>
      <c r="N26" s="17"/>
      <c r="O26" s="17"/>
      <c r="P26" s="17"/>
      <c r="Q26" s="17"/>
      <c r="R26" s="75"/>
    </row>
    <row r="27" spans="1:18" ht="15" customHeight="1" x14ac:dyDescent="0.25">
      <c r="A27" s="73"/>
      <c r="B27" s="38">
        <v>4</v>
      </c>
      <c r="C27" s="69"/>
      <c r="D27" s="63"/>
      <c r="E27" s="62"/>
      <c r="F27" s="63"/>
      <c r="G27" s="29"/>
      <c r="H27" s="17">
        <v>3</v>
      </c>
      <c r="I27" s="68"/>
      <c r="J27" s="17"/>
      <c r="K27" s="17"/>
      <c r="L27" s="17"/>
      <c r="M27" s="17"/>
      <c r="N27" s="17"/>
      <c r="O27" s="17"/>
      <c r="P27" s="17"/>
      <c r="Q27" s="17"/>
      <c r="R27" s="75"/>
    </row>
    <row r="28" spans="1:18" ht="15" customHeight="1" x14ac:dyDescent="0.25">
      <c r="A28" s="73"/>
      <c r="B28" s="38">
        <v>5</v>
      </c>
      <c r="C28" s="62"/>
      <c r="D28" s="63"/>
      <c r="E28" s="62"/>
      <c r="F28" s="63"/>
      <c r="G28" s="29"/>
      <c r="H28" s="17">
        <v>4</v>
      </c>
      <c r="I28" s="68"/>
      <c r="J28" s="34"/>
      <c r="K28" s="17"/>
      <c r="L28" s="17"/>
      <c r="M28" s="17"/>
      <c r="N28" s="17"/>
      <c r="O28" s="17"/>
      <c r="P28" s="17"/>
      <c r="Q28" s="17"/>
      <c r="R28" s="75"/>
    </row>
    <row r="29" spans="1:18" ht="15" customHeight="1" x14ac:dyDescent="0.25">
      <c r="A29" s="73"/>
      <c r="B29" s="38">
        <v>6</v>
      </c>
      <c r="C29" s="62"/>
      <c r="D29" s="63"/>
      <c r="E29" s="62"/>
      <c r="F29" s="63"/>
      <c r="G29" s="29"/>
      <c r="H29" s="17">
        <v>5</v>
      </c>
      <c r="I29" s="68"/>
      <c r="J29" s="34"/>
      <c r="K29" s="17"/>
      <c r="L29" s="17"/>
      <c r="M29" s="17"/>
      <c r="N29" s="17"/>
      <c r="O29" s="17"/>
      <c r="P29" s="17"/>
      <c r="Q29" s="17"/>
      <c r="R29" s="75"/>
    </row>
    <row r="30" spans="1:18" ht="15" customHeight="1" x14ac:dyDescent="0.25">
      <c r="A30" s="73"/>
      <c r="B30" s="38">
        <v>7</v>
      </c>
      <c r="C30" s="62"/>
      <c r="D30" s="63"/>
      <c r="E30" s="62"/>
      <c r="F30" s="63"/>
      <c r="G30" s="29"/>
      <c r="H30" s="17">
        <v>6</v>
      </c>
      <c r="I30" s="68"/>
      <c r="J30" s="34"/>
      <c r="K30" s="17"/>
      <c r="L30" s="210" t="s">
        <v>62</v>
      </c>
      <c r="M30" s="211"/>
      <c r="N30" s="17"/>
      <c r="O30" s="17"/>
      <c r="P30" s="17"/>
      <c r="Q30" s="17"/>
      <c r="R30" s="75"/>
    </row>
    <row r="31" spans="1:18" ht="15" customHeight="1" thickBot="1" x14ac:dyDescent="0.3">
      <c r="A31" s="73"/>
      <c r="B31" s="38">
        <v>8</v>
      </c>
      <c r="C31" s="62"/>
      <c r="D31" s="63"/>
      <c r="E31" s="62"/>
      <c r="F31" s="63"/>
      <c r="G31" s="29"/>
      <c r="H31" s="17">
        <v>7</v>
      </c>
      <c r="I31" s="70"/>
      <c r="J31" s="34"/>
      <c r="K31" s="17"/>
      <c r="L31" s="79">
        <v>0</v>
      </c>
      <c r="M31" s="80" t="s">
        <v>150</v>
      </c>
      <c r="N31" s="17"/>
      <c r="O31" s="17"/>
      <c r="P31" s="17"/>
      <c r="Q31" s="17"/>
      <c r="R31" s="75"/>
    </row>
    <row r="32" spans="1:18" ht="15" customHeight="1" x14ac:dyDescent="0.25">
      <c r="A32" s="73"/>
      <c r="B32" s="38">
        <v>9</v>
      </c>
      <c r="C32" s="62"/>
      <c r="D32" s="63"/>
      <c r="E32" s="62"/>
      <c r="F32" s="63"/>
      <c r="G32" s="29"/>
      <c r="H32" s="17"/>
      <c r="I32" s="1"/>
      <c r="J32" s="2"/>
      <c r="K32" s="17"/>
      <c r="L32" s="79">
        <v>1</v>
      </c>
      <c r="M32" s="80" t="s">
        <v>151</v>
      </c>
      <c r="N32" s="17"/>
      <c r="O32" s="17"/>
      <c r="P32" s="17"/>
      <c r="Q32" s="17"/>
      <c r="R32" s="75"/>
    </row>
    <row r="33" spans="1:18" ht="15" customHeight="1" x14ac:dyDescent="0.25">
      <c r="A33" s="73"/>
      <c r="B33" s="38">
        <v>10</v>
      </c>
      <c r="C33" s="62"/>
      <c r="D33" s="63"/>
      <c r="E33" s="62"/>
      <c r="F33" s="63"/>
      <c r="G33" s="29"/>
      <c r="H33" s="17"/>
      <c r="I33" s="1"/>
      <c r="J33" s="2"/>
      <c r="K33" s="17"/>
      <c r="L33" s="79">
        <v>2</v>
      </c>
      <c r="M33" s="80" t="s">
        <v>152</v>
      </c>
      <c r="N33" s="17"/>
      <c r="O33" s="17"/>
      <c r="P33" s="17"/>
      <c r="Q33" s="17"/>
      <c r="R33" s="75"/>
    </row>
    <row r="34" spans="1:18" ht="15" customHeight="1" x14ac:dyDescent="0.25">
      <c r="A34" s="73"/>
      <c r="B34" s="38">
        <v>11</v>
      </c>
      <c r="C34" s="62"/>
      <c r="D34" s="63"/>
      <c r="E34" s="62"/>
      <c r="F34" s="63"/>
      <c r="G34" s="29"/>
      <c r="J34" s="17"/>
      <c r="K34" s="17"/>
      <c r="L34" s="79">
        <v>3</v>
      </c>
      <c r="M34" s="80" t="s">
        <v>153</v>
      </c>
      <c r="N34" s="17"/>
      <c r="O34" s="17"/>
      <c r="P34" s="17"/>
      <c r="Q34" s="17"/>
      <c r="R34" s="75"/>
    </row>
    <row r="35" spans="1:18" ht="15" customHeight="1" x14ac:dyDescent="0.25">
      <c r="A35" s="73"/>
      <c r="B35" s="38" t="s">
        <v>125</v>
      </c>
      <c r="C35" s="62"/>
      <c r="D35" s="63"/>
      <c r="E35" s="62"/>
      <c r="F35" s="63"/>
      <c r="G35" s="29"/>
      <c r="J35" s="17"/>
      <c r="K35" s="17"/>
      <c r="L35" s="79">
        <v>4</v>
      </c>
      <c r="M35" s="80" t="s">
        <v>154</v>
      </c>
      <c r="N35" s="17"/>
      <c r="O35" s="17"/>
      <c r="P35" s="17"/>
      <c r="Q35" s="17"/>
      <c r="R35" s="75"/>
    </row>
    <row r="36" spans="1:18" ht="15" customHeight="1" x14ac:dyDescent="0.25">
      <c r="A36" s="73"/>
      <c r="B36" s="38">
        <v>255</v>
      </c>
      <c r="C36" s="62"/>
      <c r="D36" s="63"/>
      <c r="E36" s="62"/>
      <c r="F36" s="63"/>
      <c r="G36" s="29"/>
      <c r="J36" s="17"/>
      <c r="K36" s="17"/>
      <c r="L36" s="79">
        <v>5</v>
      </c>
      <c r="M36" s="80" t="s">
        <v>155</v>
      </c>
      <c r="N36" s="17"/>
      <c r="O36" s="17"/>
      <c r="P36" s="17"/>
      <c r="Q36" s="17"/>
      <c r="R36" s="75"/>
    </row>
    <row r="37" spans="1:18" ht="15" customHeight="1" x14ac:dyDescent="0.25">
      <c r="A37" s="73"/>
      <c r="B37" s="17" t="s">
        <v>128</v>
      </c>
      <c r="C37" s="29" t="s">
        <v>131</v>
      </c>
      <c r="D37" s="29" t="s">
        <v>131</v>
      </c>
      <c r="E37" s="29" t="s">
        <v>130</v>
      </c>
      <c r="F37" s="29" t="s">
        <v>130</v>
      </c>
      <c r="G37" s="29"/>
      <c r="J37" s="17"/>
      <c r="K37" s="17"/>
      <c r="L37" s="79">
        <v>6</v>
      </c>
      <c r="M37" s="80" t="s">
        <v>156</v>
      </c>
      <c r="N37" s="17"/>
      <c r="O37" s="17"/>
      <c r="P37" s="17"/>
      <c r="Q37" s="17"/>
      <c r="R37" s="75"/>
    </row>
    <row r="38" spans="1:18" ht="15" customHeight="1" x14ac:dyDescent="0.25">
      <c r="A38" s="73"/>
      <c r="G38" s="29"/>
      <c r="J38" s="17"/>
      <c r="K38" s="17"/>
      <c r="L38" s="79">
        <v>7</v>
      </c>
      <c r="M38" s="80" t="s">
        <v>157</v>
      </c>
      <c r="N38" s="17"/>
      <c r="O38" s="17"/>
      <c r="P38" s="17"/>
      <c r="Q38" s="17"/>
      <c r="R38" s="75"/>
    </row>
    <row r="39" spans="1:18" ht="15" customHeight="1" x14ac:dyDescent="0.25">
      <c r="A39" s="73"/>
      <c r="G39" s="29"/>
      <c r="J39" s="17"/>
      <c r="K39" s="17"/>
      <c r="L39" s="79">
        <v>8</v>
      </c>
      <c r="M39" s="80" t="s">
        <v>158</v>
      </c>
      <c r="N39" s="17"/>
      <c r="O39" s="17"/>
      <c r="P39" s="17"/>
      <c r="Q39" s="17"/>
      <c r="R39" s="75"/>
    </row>
    <row r="40" spans="1:18" x14ac:dyDescent="0.25">
      <c r="A40" s="73"/>
      <c r="G40" s="29"/>
      <c r="K40" s="17"/>
      <c r="L40" s="79">
        <v>9</v>
      </c>
      <c r="M40" s="80" t="s">
        <v>159</v>
      </c>
      <c r="N40" s="17"/>
      <c r="O40" s="17"/>
      <c r="P40" s="17"/>
      <c r="Q40" s="17"/>
      <c r="R40" s="75"/>
    </row>
    <row r="41" spans="1:18" x14ac:dyDescent="0.25">
      <c r="A41" s="73"/>
      <c r="G41" s="29"/>
      <c r="K41" s="34"/>
      <c r="L41" s="79">
        <v>10</v>
      </c>
      <c r="M41" s="80" t="s">
        <v>160</v>
      </c>
      <c r="N41" s="17"/>
      <c r="O41" s="17"/>
      <c r="P41" s="17"/>
      <c r="Q41" s="17"/>
      <c r="R41" s="75"/>
    </row>
    <row r="42" spans="1:18" x14ac:dyDescent="0.25">
      <c r="A42" s="73"/>
      <c r="G42" s="29"/>
      <c r="K42" s="17"/>
      <c r="L42" s="79">
        <v>11</v>
      </c>
      <c r="M42" s="80" t="s">
        <v>161</v>
      </c>
      <c r="N42" s="17"/>
      <c r="O42" s="17"/>
      <c r="P42" s="17"/>
      <c r="Q42" s="17"/>
      <c r="R42" s="75"/>
    </row>
    <row r="43" spans="1:18" x14ac:dyDescent="0.25">
      <c r="A43" s="73"/>
      <c r="G43" s="29"/>
      <c r="K43" s="17"/>
      <c r="L43" s="79">
        <v>12</v>
      </c>
      <c r="M43" s="197" t="s">
        <v>480</v>
      </c>
      <c r="N43" s="17"/>
      <c r="O43" s="17"/>
      <c r="P43" s="17"/>
      <c r="Q43" s="17"/>
      <c r="R43" s="75"/>
    </row>
    <row r="44" spans="1:18" x14ac:dyDescent="0.25">
      <c r="A44" s="73"/>
      <c r="G44" s="29"/>
      <c r="K44" s="17"/>
      <c r="L44" s="79">
        <v>13</v>
      </c>
      <c r="M44" s="197"/>
      <c r="N44" s="17"/>
      <c r="O44" s="17"/>
      <c r="P44" s="17"/>
      <c r="Q44" s="17"/>
      <c r="R44" s="75"/>
    </row>
    <row r="45" spans="1:18" ht="15" customHeight="1" x14ac:dyDescent="0.25">
      <c r="A45" s="73"/>
      <c r="G45" s="29"/>
      <c r="K45" s="34"/>
      <c r="L45" s="79">
        <v>14</v>
      </c>
      <c r="M45" s="80"/>
      <c r="N45" s="17"/>
      <c r="O45" s="17"/>
      <c r="P45" s="17"/>
      <c r="Q45" s="17"/>
      <c r="R45" s="75"/>
    </row>
    <row r="46" spans="1:18" ht="15" customHeight="1" x14ac:dyDescent="0.25">
      <c r="A46" s="73"/>
      <c r="B46" s="17"/>
      <c r="C46" s="29"/>
      <c r="D46" s="29"/>
      <c r="E46" s="29"/>
      <c r="F46" s="29"/>
      <c r="G46" s="29"/>
      <c r="K46" s="34"/>
      <c r="L46" s="79">
        <v>15</v>
      </c>
      <c r="M46" s="81"/>
      <c r="N46" s="17"/>
      <c r="O46" s="17"/>
      <c r="P46" s="17"/>
      <c r="Q46" s="17"/>
      <c r="R46" s="75"/>
    </row>
    <row r="47" spans="1:18" ht="15" customHeight="1" x14ac:dyDescent="0.25">
      <c r="A47" s="73"/>
      <c r="B47" s="17"/>
      <c r="C47" s="29"/>
      <c r="D47" s="29"/>
      <c r="E47" s="29"/>
      <c r="F47" s="29"/>
      <c r="G47" s="29"/>
      <c r="K47" s="34"/>
      <c r="L47" s="34"/>
      <c r="M47" s="17"/>
      <c r="N47" s="17"/>
      <c r="O47" s="17"/>
      <c r="P47" s="17"/>
      <c r="Q47" s="17"/>
      <c r="R47" s="75"/>
    </row>
    <row r="48" spans="1:18" ht="15" customHeight="1" x14ac:dyDescent="0.25">
      <c r="A48" s="73"/>
      <c r="B48" s="17"/>
      <c r="C48" s="29"/>
      <c r="D48" s="29"/>
      <c r="E48" s="29"/>
      <c r="F48" s="29"/>
      <c r="G48" s="29"/>
      <c r="K48" s="34"/>
      <c r="L48" s="34"/>
      <c r="M48" s="17"/>
      <c r="N48" s="17"/>
      <c r="O48" s="17"/>
      <c r="P48" s="17"/>
      <c r="Q48" s="17"/>
      <c r="R48" s="75"/>
    </row>
    <row r="49" spans="1:19" x14ac:dyDescent="0.25">
      <c r="A49" s="73"/>
      <c r="B49" s="17"/>
      <c r="C49" s="29"/>
      <c r="D49" s="29"/>
      <c r="E49" s="29"/>
      <c r="F49" s="29"/>
      <c r="G49" s="29"/>
      <c r="K49" s="17"/>
      <c r="L49" s="17"/>
      <c r="M49" s="17"/>
      <c r="N49" s="17"/>
      <c r="O49" s="17"/>
      <c r="P49" s="17"/>
      <c r="Q49" s="17"/>
      <c r="R49" s="75"/>
    </row>
    <row r="50" spans="1:19" ht="16.5" thickBot="1" x14ac:dyDescent="0.3">
      <c r="A50" s="82"/>
      <c r="B50" s="83"/>
      <c r="C50" s="84"/>
      <c r="D50" s="84"/>
      <c r="E50" s="84"/>
      <c r="F50" s="84"/>
      <c r="G50" s="84"/>
      <c r="H50" s="83"/>
      <c r="I50" s="84"/>
      <c r="J50" s="83"/>
      <c r="K50" s="83"/>
      <c r="L50" s="83"/>
      <c r="M50" s="83"/>
      <c r="N50" s="83"/>
      <c r="O50" s="83"/>
      <c r="P50" s="83"/>
      <c r="Q50" s="83"/>
      <c r="R50" s="85"/>
    </row>
    <row r="55" spans="1:19" ht="16.5" thickBot="1" x14ac:dyDescent="0.3"/>
    <row r="56" spans="1:19" ht="16.5" thickBot="1" x14ac:dyDescent="0.3">
      <c r="A56" s="199" t="s">
        <v>162</v>
      </c>
      <c r="B56" s="200"/>
      <c r="C56" s="200"/>
      <c r="D56" s="200"/>
      <c r="E56" s="200"/>
      <c r="F56" s="200"/>
      <c r="G56" s="200"/>
      <c r="H56" s="200"/>
    </row>
    <row r="57" spans="1:19" ht="16.5" thickBot="1" x14ac:dyDescent="0.3">
      <c r="A57" s="86"/>
      <c r="B57" s="87" t="s">
        <v>163</v>
      </c>
      <c r="C57" s="88"/>
      <c r="D57" s="88"/>
      <c r="E57" s="89"/>
      <c r="F57" s="89"/>
      <c r="G57" s="90"/>
      <c r="I57" s="91" t="str">
        <f>D58</f>
        <v>Type_Sup</v>
      </c>
      <c r="J57" s="92" t="s">
        <v>164</v>
      </c>
      <c r="K57" s="93"/>
      <c r="L57" s="93"/>
      <c r="M57" s="93"/>
      <c r="N57" s="93"/>
      <c r="O57" s="93"/>
      <c r="P57" s="93"/>
      <c r="Q57" s="93"/>
      <c r="R57" s="93"/>
      <c r="S57" s="72"/>
    </row>
    <row r="58" spans="1:19" x14ac:dyDescent="0.25">
      <c r="A58" s="94" t="s">
        <v>165</v>
      </c>
      <c r="B58" s="93" t="s">
        <v>166</v>
      </c>
      <c r="C58" s="95" t="s">
        <v>167</v>
      </c>
      <c r="D58" s="93" t="s">
        <v>168</v>
      </c>
      <c r="E58" s="2" t="s">
        <v>169</v>
      </c>
      <c r="F58" s="2" t="s">
        <v>170</v>
      </c>
      <c r="G58" s="2" t="s">
        <v>171</v>
      </c>
      <c r="I58" s="30" t="str">
        <f>A58</f>
        <v>Types</v>
      </c>
      <c r="J58" s="96" t="s">
        <v>172</v>
      </c>
      <c r="K58" s="17"/>
      <c r="L58" s="17"/>
      <c r="M58" s="17"/>
      <c r="N58" s="17"/>
      <c r="O58" s="17"/>
      <c r="P58" s="17"/>
      <c r="Q58" s="17"/>
      <c r="R58" s="17"/>
      <c r="S58" s="75"/>
    </row>
    <row r="59" spans="1:19" x14ac:dyDescent="0.25">
      <c r="A59" s="73" t="s">
        <v>173</v>
      </c>
      <c r="B59" s="17" t="s">
        <v>174</v>
      </c>
      <c r="C59" s="75" t="s">
        <v>173</v>
      </c>
      <c r="D59" s="17" t="s">
        <v>173</v>
      </c>
      <c r="E59" s="2" t="s">
        <v>175</v>
      </c>
      <c r="F59" s="2" t="s">
        <v>175</v>
      </c>
      <c r="G59" s="17" t="s">
        <v>173</v>
      </c>
      <c r="I59" s="30" t="str">
        <f>B58</f>
        <v>Link_toTypes</v>
      </c>
      <c r="J59" s="96" t="s">
        <v>176</v>
      </c>
      <c r="K59" s="17"/>
      <c r="L59" s="17"/>
      <c r="M59" s="17"/>
      <c r="N59" s="17"/>
      <c r="O59" s="17"/>
      <c r="P59" s="17"/>
      <c r="Q59" s="17"/>
      <c r="R59" s="17"/>
      <c r="S59" s="75"/>
    </row>
    <row r="60" spans="1:19" ht="16.5" thickBot="1" x14ac:dyDescent="0.3">
      <c r="A60" s="201" t="s">
        <v>177</v>
      </c>
      <c r="B60" s="202"/>
      <c r="C60" s="203"/>
      <c r="I60" s="30" t="str">
        <f>C58</f>
        <v>Link_toCodes</v>
      </c>
      <c r="J60" s="96" t="s">
        <v>178</v>
      </c>
      <c r="K60" s="17"/>
      <c r="L60" s="17"/>
      <c r="M60" s="17"/>
      <c r="N60" s="17"/>
      <c r="O60" s="17"/>
      <c r="P60" s="17"/>
      <c r="Q60" s="17"/>
      <c r="R60" s="17"/>
      <c r="S60" s="75"/>
    </row>
    <row r="61" spans="1:19" x14ac:dyDescent="0.25">
      <c r="A61" s="73"/>
      <c r="B61" s="17"/>
      <c r="C61" s="17"/>
      <c r="D61" s="17"/>
      <c r="I61" s="30" t="s">
        <v>169</v>
      </c>
      <c r="J61" s="97" t="s">
        <v>179</v>
      </c>
      <c r="K61" s="17"/>
      <c r="L61" s="17"/>
      <c r="M61" s="17"/>
      <c r="N61" s="17"/>
      <c r="O61" s="17"/>
      <c r="P61" s="17"/>
      <c r="Q61" s="17"/>
      <c r="R61" s="17"/>
      <c r="S61" s="75"/>
    </row>
    <row r="62" spans="1:19" x14ac:dyDescent="0.25">
      <c r="A62" s="73"/>
      <c r="B62" s="17"/>
      <c r="C62" s="17"/>
      <c r="D62" s="17"/>
      <c r="E62" s="17"/>
      <c r="I62" s="30" t="s">
        <v>170</v>
      </c>
      <c r="J62" s="98" t="s">
        <v>180</v>
      </c>
      <c r="K62" s="17"/>
      <c r="L62" s="17"/>
      <c r="M62" s="17"/>
      <c r="N62" s="17"/>
      <c r="O62" s="17"/>
      <c r="P62" s="17"/>
      <c r="Q62" s="17"/>
      <c r="R62" s="17"/>
      <c r="S62" s="75"/>
    </row>
    <row r="63" spans="1:19" x14ac:dyDescent="0.25">
      <c r="A63" s="73"/>
      <c r="B63" s="17"/>
      <c r="C63" s="17"/>
      <c r="D63" s="17"/>
      <c r="E63" s="17"/>
      <c r="I63" s="30" t="s">
        <v>171</v>
      </c>
      <c r="J63" s="98" t="s">
        <v>181</v>
      </c>
      <c r="K63" s="17"/>
      <c r="L63" s="17"/>
      <c r="M63" s="17"/>
      <c r="N63" s="17"/>
      <c r="O63" s="17"/>
      <c r="P63" s="17"/>
      <c r="Q63" s="17"/>
      <c r="R63" s="17"/>
      <c r="S63" s="75"/>
    </row>
    <row r="64" spans="1:19" x14ac:dyDescent="0.25">
      <c r="A64" s="73"/>
      <c r="B64" s="17"/>
      <c r="C64" s="17"/>
      <c r="D64" s="17"/>
      <c r="E64" s="17"/>
      <c r="F64" s="17"/>
      <c r="G64" s="17"/>
      <c r="H64" s="17"/>
      <c r="I64" s="17">
        <v>179</v>
      </c>
      <c r="J64" s="96" t="s">
        <v>182</v>
      </c>
      <c r="K64" s="17"/>
      <c r="L64" s="17"/>
      <c r="M64" s="17"/>
      <c r="N64" s="17"/>
      <c r="O64" s="17"/>
      <c r="P64" s="17"/>
      <c r="Q64" s="17"/>
      <c r="R64" s="17"/>
      <c r="S64" s="75"/>
    </row>
    <row r="65" spans="1:19" x14ac:dyDescent="0.25">
      <c r="A65" s="73"/>
      <c r="B65" s="17"/>
      <c r="C65" s="17"/>
      <c r="D65" s="17"/>
      <c r="E65" s="17"/>
      <c r="F65" s="17"/>
      <c r="G65" s="17"/>
      <c r="H65" s="17"/>
      <c r="I65" s="30">
        <v>416</v>
      </c>
      <c r="J65" s="96" t="s">
        <v>183</v>
      </c>
      <c r="K65" s="17"/>
      <c r="L65" s="17"/>
      <c r="M65" s="17"/>
      <c r="N65" s="17"/>
      <c r="O65" s="17"/>
      <c r="P65" s="17"/>
      <c r="Q65" s="17"/>
      <c r="R65" s="17"/>
      <c r="S65" s="75"/>
    </row>
    <row r="66" spans="1:19" ht="16.5" thickBot="1" x14ac:dyDescent="0.3">
      <c r="A66" s="73"/>
      <c r="B66" s="17"/>
      <c r="C66" s="29"/>
      <c r="D66" s="29"/>
      <c r="E66" s="29"/>
      <c r="F66" s="29"/>
      <c r="G66" s="29"/>
      <c r="H66" s="17"/>
      <c r="I66" s="29"/>
      <c r="J66" s="17"/>
      <c r="K66" s="17"/>
      <c r="L66" s="17"/>
      <c r="M66" s="17"/>
      <c r="N66" s="17"/>
      <c r="O66" s="17"/>
      <c r="P66" s="17"/>
      <c r="Q66" s="17"/>
      <c r="R66" s="17"/>
      <c r="S66" s="75"/>
    </row>
    <row r="67" spans="1:19" ht="17.25" thickTop="1" thickBot="1" x14ac:dyDescent="0.3">
      <c r="A67" s="99" t="s">
        <v>184</v>
      </c>
      <c r="B67" s="100"/>
      <c r="C67" s="100"/>
      <c r="D67" s="100"/>
      <c r="E67" s="100"/>
      <c r="F67" s="101"/>
      <c r="G67" s="29"/>
      <c r="H67" s="17"/>
      <c r="I67" s="29"/>
      <c r="J67" s="17"/>
      <c r="N67" s="17"/>
      <c r="O67" s="17"/>
      <c r="P67" s="17"/>
      <c r="Q67" s="17"/>
      <c r="R67" s="17"/>
      <c r="S67" s="75"/>
    </row>
    <row r="68" spans="1:19" ht="15" customHeight="1" thickTop="1" x14ac:dyDescent="0.25">
      <c r="A68" s="102" t="s">
        <v>119</v>
      </c>
      <c r="B68" s="103" t="s">
        <v>185</v>
      </c>
      <c r="C68" s="103" t="str">
        <f>A58</f>
        <v>Types</v>
      </c>
      <c r="D68" s="103" t="str">
        <f>D58</f>
        <v>Type_Sup</v>
      </c>
      <c r="E68" s="103" t="str">
        <f>C58</f>
        <v>Link_toCodes</v>
      </c>
      <c r="F68" s="104" t="s">
        <v>169</v>
      </c>
      <c r="G68" s="105" t="s">
        <v>168</v>
      </c>
      <c r="H68" s="105"/>
      <c r="I68" s="106" t="s">
        <v>186</v>
      </c>
      <c r="J68" s="17"/>
      <c r="K68" s="204" t="str">
        <f>B58</f>
        <v>Link_toTypes</v>
      </c>
      <c r="L68" s="205"/>
      <c r="M68" s="206"/>
      <c r="N68" s="17"/>
      <c r="O68" s="17"/>
      <c r="P68" s="17"/>
      <c r="Q68" s="17"/>
      <c r="R68" s="17"/>
      <c r="S68" s="75"/>
    </row>
    <row r="69" spans="1:19" x14ac:dyDescent="0.25">
      <c r="A69" s="107">
        <v>1</v>
      </c>
      <c r="B69" s="108" t="s">
        <v>187</v>
      </c>
      <c r="C69" s="29">
        <v>1</v>
      </c>
      <c r="D69" s="109">
        <v>1</v>
      </c>
      <c r="E69" s="29">
        <v>5</v>
      </c>
      <c r="F69" s="110"/>
      <c r="G69" s="111" t="s">
        <v>188</v>
      </c>
      <c r="H69" s="112"/>
      <c r="I69" s="112"/>
      <c r="J69" s="17"/>
      <c r="K69" s="113">
        <v>1</v>
      </c>
      <c r="L69" s="114" t="s">
        <v>189</v>
      </c>
      <c r="M69" s="112">
        <v>0</v>
      </c>
      <c r="N69" s="17"/>
      <c r="O69" s="17"/>
      <c r="P69" s="17"/>
      <c r="Q69" s="17"/>
      <c r="R69" s="17"/>
      <c r="S69" s="75"/>
    </row>
    <row r="70" spans="1:19" ht="16.5" thickBot="1" x14ac:dyDescent="0.3">
      <c r="A70" s="115">
        <v>2</v>
      </c>
      <c r="B70" s="116" t="s">
        <v>190</v>
      </c>
      <c r="C70" s="29">
        <v>1</v>
      </c>
      <c r="D70" s="109">
        <v>1</v>
      </c>
      <c r="E70" s="29">
        <v>7</v>
      </c>
      <c r="F70" s="110"/>
      <c r="G70" s="117" t="s">
        <v>191</v>
      </c>
      <c r="H70" s="118"/>
      <c r="I70" s="119">
        <v>1</v>
      </c>
      <c r="J70" s="17"/>
      <c r="K70" s="113">
        <v>2</v>
      </c>
      <c r="L70" s="114" t="s">
        <v>189</v>
      </c>
      <c r="M70" s="112">
        <v>0</v>
      </c>
      <c r="N70" s="17"/>
      <c r="O70" s="17"/>
      <c r="P70" s="17"/>
      <c r="Q70" s="17"/>
      <c r="R70" s="17"/>
      <c r="S70" s="75"/>
    </row>
    <row r="71" spans="1:19" ht="16.5" thickBot="1" x14ac:dyDescent="0.3">
      <c r="A71" s="115">
        <v>3</v>
      </c>
      <c r="B71" s="116" t="s">
        <v>192</v>
      </c>
      <c r="C71" s="29">
        <v>1</v>
      </c>
      <c r="D71" s="109">
        <v>1</v>
      </c>
      <c r="E71" s="29">
        <v>45</v>
      </c>
      <c r="F71" s="110"/>
      <c r="G71" s="120" t="s">
        <v>193</v>
      </c>
      <c r="H71" s="121"/>
      <c r="I71" s="122">
        <v>2</v>
      </c>
      <c r="J71" s="17"/>
      <c r="K71" s="113">
        <v>3</v>
      </c>
      <c r="L71" s="114" t="s">
        <v>194</v>
      </c>
      <c r="M71" s="112">
        <v>2</v>
      </c>
      <c r="N71" s="17"/>
      <c r="O71" s="17"/>
      <c r="P71" s="17"/>
      <c r="Q71" s="17"/>
      <c r="R71" s="17"/>
      <c r="S71" s="75"/>
    </row>
    <row r="72" spans="1:19" x14ac:dyDescent="0.25">
      <c r="A72" s="115">
        <v>4</v>
      </c>
      <c r="B72" s="116" t="s">
        <v>195</v>
      </c>
      <c r="C72" s="29">
        <v>1</v>
      </c>
      <c r="D72" s="109">
        <v>1</v>
      </c>
      <c r="E72" s="29">
        <v>22</v>
      </c>
      <c r="F72" s="110"/>
      <c r="G72" s="123" t="s">
        <v>196</v>
      </c>
      <c r="H72" s="124">
        <v>0</v>
      </c>
      <c r="I72" s="21">
        <v>3</v>
      </c>
      <c r="J72" s="17"/>
      <c r="K72" s="113">
        <v>4</v>
      </c>
      <c r="L72" s="114" t="s">
        <v>197</v>
      </c>
      <c r="M72" s="125">
        <v>3</v>
      </c>
      <c r="N72" s="17"/>
      <c r="O72" s="17"/>
      <c r="P72" s="17"/>
      <c r="Q72" s="17"/>
      <c r="R72" s="17"/>
      <c r="S72" s="75"/>
    </row>
    <row r="73" spans="1:19" x14ac:dyDescent="0.25">
      <c r="A73" s="115">
        <v>5</v>
      </c>
      <c r="B73" s="116" t="s">
        <v>198</v>
      </c>
      <c r="C73" s="29">
        <v>1</v>
      </c>
      <c r="D73" s="109">
        <v>1</v>
      </c>
      <c r="E73" s="29">
        <v>45</v>
      </c>
      <c r="F73" s="110"/>
      <c r="G73" s="123" t="s">
        <v>199</v>
      </c>
      <c r="H73" s="124">
        <v>1</v>
      </c>
      <c r="I73" s="112">
        <v>4</v>
      </c>
      <c r="J73" s="17"/>
      <c r="K73" s="113">
        <v>5</v>
      </c>
      <c r="L73" s="114" t="s">
        <v>200</v>
      </c>
      <c r="M73" s="125">
        <v>4</v>
      </c>
      <c r="N73" s="17"/>
      <c r="O73" s="17"/>
      <c r="P73" s="17"/>
      <c r="Q73" s="17"/>
      <c r="R73" s="17"/>
      <c r="S73" s="75"/>
    </row>
    <row r="74" spans="1:19" x14ac:dyDescent="0.25">
      <c r="A74" s="115">
        <v>6</v>
      </c>
      <c r="B74" s="116" t="s">
        <v>201</v>
      </c>
      <c r="C74" s="29">
        <v>1</v>
      </c>
      <c r="D74" s="109">
        <v>1</v>
      </c>
      <c r="E74" s="29">
        <v>0</v>
      </c>
      <c r="F74" s="110"/>
      <c r="G74" s="123" t="s">
        <v>202</v>
      </c>
      <c r="H74" s="124">
        <v>2</v>
      </c>
      <c r="I74" s="112">
        <v>5</v>
      </c>
      <c r="J74" s="17"/>
      <c r="K74" s="113">
        <v>6</v>
      </c>
      <c r="L74" s="114" t="s">
        <v>203</v>
      </c>
      <c r="M74" s="125">
        <v>6</v>
      </c>
      <c r="N74" s="17"/>
      <c r="O74" s="17"/>
      <c r="P74" s="17"/>
      <c r="Q74" s="17"/>
      <c r="R74" s="17"/>
      <c r="S74" s="75"/>
    </row>
    <row r="75" spans="1:19" ht="16.5" thickBot="1" x14ac:dyDescent="0.3">
      <c r="A75" s="115">
        <v>7</v>
      </c>
      <c r="B75" s="116" t="s">
        <v>204</v>
      </c>
      <c r="C75" s="29">
        <v>1</v>
      </c>
      <c r="D75" s="109">
        <v>1</v>
      </c>
      <c r="E75" s="29">
        <v>0</v>
      </c>
      <c r="F75" s="110"/>
      <c r="G75" s="123" t="s">
        <v>205</v>
      </c>
      <c r="H75" s="124">
        <v>3</v>
      </c>
      <c r="I75" s="112">
        <v>6</v>
      </c>
      <c r="J75" s="17"/>
      <c r="K75" s="9">
        <v>7</v>
      </c>
      <c r="L75" s="114" t="s">
        <v>206</v>
      </c>
      <c r="M75" s="126">
        <v>9</v>
      </c>
      <c r="N75" s="17"/>
      <c r="O75" s="17"/>
      <c r="P75" s="17"/>
      <c r="Q75" s="17"/>
      <c r="R75" s="17"/>
      <c r="S75" s="75"/>
    </row>
    <row r="76" spans="1:19" ht="16.5" thickBot="1" x14ac:dyDescent="0.3">
      <c r="A76" s="115">
        <v>8</v>
      </c>
      <c r="B76" s="116" t="s">
        <v>207</v>
      </c>
      <c r="C76" s="29">
        <v>1</v>
      </c>
      <c r="D76" s="109">
        <v>1</v>
      </c>
      <c r="E76" s="29">
        <v>0</v>
      </c>
      <c r="F76" s="110"/>
      <c r="G76" s="123" t="s">
        <v>208</v>
      </c>
      <c r="H76" s="124">
        <v>4</v>
      </c>
      <c r="I76" s="112">
        <v>7</v>
      </c>
      <c r="J76" s="17"/>
      <c r="K76" s="127">
        <v>8</v>
      </c>
      <c r="L76" s="128" t="s">
        <v>209</v>
      </c>
      <c r="M76" s="129">
        <v>17</v>
      </c>
      <c r="N76" s="17"/>
      <c r="O76" s="17"/>
      <c r="P76" s="17"/>
      <c r="Q76" s="17"/>
      <c r="R76" s="17"/>
      <c r="S76" s="75"/>
    </row>
    <row r="77" spans="1:19" x14ac:dyDescent="0.25">
      <c r="A77" s="115">
        <v>9</v>
      </c>
      <c r="B77" s="116" t="s">
        <v>210</v>
      </c>
      <c r="C77" s="29">
        <v>1</v>
      </c>
      <c r="D77" s="109">
        <v>1</v>
      </c>
      <c r="E77" s="29">
        <v>0</v>
      </c>
      <c r="F77" s="110"/>
      <c r="G77" s="123" t="s">
        <v>211</v>
      </c>
      <c r="H77" s="124">
        <v>6</v>
      </c>
      <c r="I77" s="130">
        <v>8</v>
      </c>
      <c r="J77" s="17"/>
      <c r="K77" s="20">
        <v>9</v>
      </c>
      <c r="L77" s="114" t="s">
        <v>212</v>
      </c>
      <c r="M77" s="131">
        <v>18</v>
      </c>
      <c r="N77" s="17"/>
      <c r="O77" s="17"/>
      <c r="P77" s="17"/>
      <c r="Q77" s="17"/>
      <c r="R77" s="17"/>
      <c r="S77" s="75"/>
    </row>
    <row r="78" spans="1:19" x14ac:dyDescent="0.25">
      <c r="A78" s="115">
        <v>10</v>
      </c>
      <c r="B78" s="116" t="s">
        <v>213</v>
      </c>
      <c r="C78" s="29">
        <v>1</v>
      </c>
      <c r="D78" s="109">
        <v>1</v>
      </c>
      <c r="E78" s="29">
        <v>0</v>
      </c>
      <c r="F78" s="110"/>
      <c r="G78" s="123" t="s">
        <v>214</v>
      </c>
      <c r="H78" s="124">
        <v>42</v>
      </c>
      <c r="I78" s="112">
        <v>9</v>
      </c>
      <c r="J78" s="17"/>
      <c r="K78" s="113">
        <v>10</v>
      </c>
      <c r="L78" s="114" t="s">
        <v>215</v>
      </c>
      <c r="M78" s="125">
        <v>0</v>
      </c>
      <c r="N78" s="17"/>
      <c r="O78" s="17"/>
      <c r="P78" s="17"/>
      <c r="Q78" s="17"/>
      <c r="R78" s="17"/>
      <c r="S78" s="75"/>
    </row>
    <row r="79" spans="1:19" ht="16.5" thickBot="1" x14ac:dyDescent="0.3">
      <c r="A79" s="115">
        <v>11</v>
      </c>
      <c r="B79" s="116" t="s">
        <v>216</v>
      </c>
      <c r="C79" s="29">
        <v>1</v>
      </c>
      <c r="D79" s="109">
        <v>1</v>
      </c>
      <c r="E79" s="29">
        <v>0</v>
      </c>
      <c r="F79" s="110"/>
      <c r="G79" s="111" t="s">
        <v>217</v>
      </c>
      <c r="H79" s="112"/>
      <c r="I79" s="112">
        <v>10</v>
      </c>
      <c r="J79" s="17"/>
      <c r="K79" s="113" t="s">
        <v>218</v>
      </c>
      <c r="L79" s="112"/>
      <c r="M79" s="112"/>
      <c r="N79" s="17"/>
      <c r="O79" s="17"/>
      <c r="P79" s="17"/>
      <c r="Q79" s="17"/>
      <c r="R79" s="17"/>
      <c r="S79" s="75"/>
    </row>
    <row r="80" spans="1:19" ht="16.5" thickBot="1" x14ac:dyDescent="0.3">
      <c r="A80" s="115">
        <v>12</v>
      </c>
      <c r="B80" s="116" t="s">
        <v>219</v>
      </c>
      <c r="C80" s="29">
        <v>1</v>
      </c>
      <c r="D80" s="109">
        <v>1</v>
      </c>
      <c r="E80" s="29">
        <v>0</v>
      </c>
      <c r="F80" s="110"/>
      <c r="G80" s="132" t="s">
        <v>205</v>
      </c>
      <c r="H80" s="133">
        <v>0</v>
      </c>
      <c r="I80" s="134">
        <v>11</v>
      </c>
      <c r="J80" s="17"/>
      <c r="K80" s="113" t="str">
        <f>RIGHT(B59,3)</f>
        <v>448</v>
      </c>
      <c r="L80" s="114" t="s">
        <v>189</v>
      </c>
      <c r="M80" s="125">
        <v>0</v>
      </c>
      <c r="N80" s="17"/>
      <c r="O80" s="17"/>
      <c r="P80" s="17"/>
      <c r="Q80" s="17"/>
      <c r="R80" s="17"/>
      <c r="S80" s="75"/>
    </row>
    <row r="81" spans="1:19" x14ac:dyDescent="0.25">
      <c r="A81" s="115">
        <v>13</v>
      </c>
      <c r="B81" s="116" t="s">
        <v>220</v>
      </c>
      <c r="C81" s="29">
        <v>1</v>
      </c>
      <c r="D81" s="109">
        <v>1</v>
      </c>
      <c r="E81" s="29">
        <v>0</v>
      </c>
      <c r="F81" s="110"/>
      <c r="G81" s="132" t="s">
        <v>221</v>
      </c>
      <c r="H81" s="133">
        <v>3</v>
      </c>
      <c r="I81" s="112">
        <v>12</v>
      </c>
      <c r="J81" s="17"/>
      <c r="K81" s="17"/>
      <c r="L81" s="17"/>
      <c r="M81" s="17"/>
      <c r="N81" s="17"/>
      <c r="O81" s="17"/>
      <c r="P81" s="17"/>
      <c r="Q81" s="17"/>
      <c r="R81" s="17"/>
      <c r="S81" s="75"/>
    </row>
    <row r="82" spans="1:19" x14ac:dyDescent="0.25">
      <c r="A82" s="115">
        <v>14</v>
      </c>
      <c r="B82" s="116" t="s">
        <v>222</v>
      </c>
      <c r="C82" s="29">
        <v>0</v>
      </c>
      <c r="D82" s="109">
        <v>1</v>
      </c>
      <c r="E82" s="29">
        <v>0</v>
      </c>
      <c r="F82" s="110"/>
      <c r="G82" s="132" t="s">
        <v>223</v>
      </c>
      <c r="H82" s="133">
        <v>5</v>
      </c>
      <c r="I82" s="112">
        <v>13</v>
      </c>
      <c r="J82" s="17"/>
      <c r="K82" s="17"/>
      <c r="L82" s="17"/>
      <c r="M82" s="17"/>
      <c r="N82" s="17"/>
      <c r="O82" s="17"/>
      <c r="P82" s="17"/>
      <c r="Q82" s="17"/>
      <c r="R82" s="17"/>
      <c r="S82" s="75"/>
    </row>
    <row r="83" spans="1:19" x14ac:dyDescent="0.25">
      <c r="A83" s="115">
        <v>15</v>
      </c>
      <c r="B83" s="116" t="s">
        <v>224</v>
      </c>
      <c r="C83" s="29">
        <v>0</v>
      </c>
      <c r="D83" s="109">
        <v>1</v>
      </c>
      <c r="E83" s="29">
        <v>0</v>
      </c>
      <c r="F83" s="110"/>
      <c r="G83" s="111" t="s">
        <v>217</v>
      </c>
      <c r="H83" s="112"/>
      <c r="I83" s="112">
        <v>14</v>
      </c>
      <c r="J83" s="17"/>
      <c r="K83" s="17"/>
      <c r="L83" s="17"/>
      <c r="M83" s="17"/>
      <c r="N83" s="17"/>
      <c r="O83" s="17"/>
      <c r="P83" s="17"/>
      <c r="Q83" s="17"/>
      <c r="R83" s="17"/>
      <c r="S83" s="75"/>
    </row>
    <row r="84" spans="1:19" ht="16.5" thickBot="1" x14ac:dyDescent="0.3">
      <c r="A84" s="135">
        <v>16</v>
      </c>
      <c r="B84" s="116" t="s">
        <v>225</v>
      </c>
      <c r="C84" s="29">
        <v>0</v>
      </c>
      <c r="D84" s="109">
        <v>1</v>
      </c>
      <c r="E84" s="29">
        <v>0</v>
      </c>
      <c r="F84" s="110"/>
      <c r="G84" s="111" t="s">
        <v>217</v>
      </c>
      <c r="H84" s="112"/>
      <c r="I84" s="112">
        <v>15</v>
      </c>
      <c r="J84" s="17"/>
      <c r="K84" s="17"/>
      <c r="L84" s="17"/>
      <c r="M84" s="17"/>
      <c r="N84" s="17"/>
      <c r="O84" s="17"/>
      <c r="P84" s="17"/>
      <c r="Q84" s="17"/>
      <c r="R84" s="17"/>
      <c r="S84" s="75"/>
    </row>
    <row r="85" spans="1:19" ht="16.5" thickBot="1" x14ac:dyDescent="0.3">
      <c r="A85" s="136">
        <v>17</v>
      </c>
      <c r="B85" s="137" t="s">
        <v>226</v>
      </c>
      <c r="C85" s="29">
        <v>1</v>
      </c>
      <c r="D85" s="109">
        <v>1</v>
      </c>
      <c r="E85" s="127">
        <v>8</v>
      </c>
      <c r="F85" s="110"/>
      <c r="G85" s="111" t="s">
        <v>217</v>
      </c>
      <c r="H85" s="112"/>
      <c r="I85" s="130">
        <v>16</v>
      </c>
      <c r="J85" s="17"/>
      <c r="K85" s="17"/>
      <c r="L85" s="17"/>
      <c r="M85" s="17"/>
      <c r="N85" s="17"/>
      <c r="O85" s="17"/>
      <c r="P85" s="17"/>
      <c r="Q85" s="17"/>
      <c r="R85" s="17"/>
      <c r="S85" s="75"/>
    </row>
    <row r="86" spans="1:19" ht="16.5" thickBot="1" x14ac:dyDescent="0.3">
      <c r="A86" s="107">
        <v>18</v>
      </c>
      <c r="B86" s="116" t="s">
        <v>227</v>
      </c>
      <c r="C86" s="29">
        <v>0</v>
      </c>
      <c r="D86" s="109">
        <v>1</v>
      </c>
      <c r="E86" s="29">
        <v>0</v>
      </c>
      <c r="F86" s="110"/>
      <c r="G86" s="138"/>
      <c r="H86" s="17"/>
      <c r="I86" s="29"/>
      <c r="J86" s="17"/>
      <c r="K86" s="17"/>
      <c r="L86" s="17"/>
      <c r="M86" s="17"/>
      <c r="N86" s="17"/>
      <c r="O86" s="17"/>
      <c r="P86" s="17"/>
      <c r="Q86" s="17"/>
      <c r="R86" s="17"/>
      <c r="S86" s="75"/>
    </row>
    <row r="87" spans="1:19" ht="16.5" thickBot="1" x14ac:dyDescent="0.3">
      <c r="A87" s="115">
        <v>19</v>
      </c>
      <c r="B87" s="139" t="s">
        <v>228</v>
      </c>
      <c r="C87" s="140">
        <v>11</v>
      </c>
      <c r="D87" s="109">
        <v>2048</v>
      </c>
      <c r="E87" s="29">
        <v>2</v>
      </c>
      <c r="F87" s="110"/>
      <c r="G87" s="29"/>
      <c r="H87" s="17"/>
      <c r="I87" s="29"/>
      <c r="J87" s="17"/>
      <c r="K87" s="17"/>
      <c r="L87" s="17"/>
      <c r="M87" s="17"/>
      <c r="N87" s="17"/>
      <c r="O87" s="17"/>
      <c r="P87" s="17"/>
      <c r="Q87" s="17"/>
      <c r="R87" s="17"/>
      <c r="S87" s="75"/>
    </row>
    <row r="88" spans="1:19" x14ac:dyDescent="0.25">
      <c r="A88" s="115">
        <v>20</v>
      </c>
      <c r="B88" s="116" t="s">
        <v>229</v>
      </c>
      <c r="C88" s="29">
        <v>11</v>
      </c>
      <c r="D88" s="109">
        <v>2048</v>
      </c>
      <c r="E88" s="29">
        <v>99</v>
      </c>
      <c r="F88" s="110"/>
      <c r="G88" s="29"/>
      <c r="H88" s="17"/>
      <c r="I88" s="29"/>
      <c r="J88" s="17"/>
      <c r="K88" s="17"/>
      <c r="L88" s="17"/>
      <c r="M88" s="17"/>
      <c r="N88" s="17"/>
      <c r="O88" s="17"/>
      <c r="P88" s="17"/>
      <c r="Q88" s="17"/>
      <c r="R88" s="17"/>
      <c r="S88" s="75"/>
    </row>
    <row r="89" spans="1:19" x14ac:dyDescent="0.25">
      <c r="A89" s="115">
        <v>21</v>
      </c>
      <c r="B89" s="116" t="s">
        <v>230</v>
      </c>
      <c r="C89" s="29">
        <v>12</v>
      </c>
      <c r="D89" s="109">
        <v>14336</v>
      </c>
      <c r="E89" s="29">
        <v>88</v>
      </c>
      <c r="F89" s="110"/>
      <c r="G89" s="29"/>
      <c r="H89" s="17"/>
      <c r="I89" s="29"/>
      <c r="J89" s="17"/>
      <c r="K89" s="17"/>
      <c r="L89" s="17"/>
      <c r="M89" s="17"/>
      <c r="N89" s="17"/>
      <c r="O89" s="17"/>
      <c r="P89" s="17"/>
      <c r="Q89" s="17"/>
      <c r="R89" s="17"/>
      <c r="S89" s="75"/>
    </row>
    <row r="90" spans="1:19" x14ac:dyDescent="0.25">
      <c r="A90" s="115">
        <v>22</v>
      </c>
      <c r="B90" s="116" t="s">
        <v>231</v>
      </c>
      <c r="C90" s="29">
        <v>12</v>
      </c>
      <c r="D90" s="109">
        <v>14336</v>
      </c>
      <c r="E90" s="29">
        <v>77</v>
      </c>
      <c r="F90" s="110"/>
      <c r="G90" s="29"/>
      <c r="H90" s="17"/>
      <c r="I90" s="29"/>
      <c r="J90" s="17"/>
      <c r="K90" s="17"/>
      <c r="L90" s="17"/>
      <c r="M90" s="17"/>
      <c r="N90" s="17"/>
      <c r="O90" s="17"/>
      <c r="P90" s="17"/>
      <c r="Q90" s="17"/>
      <c r="R90" s="17"/>
      <c r="S90" s="75"/>
    </row>
    <row r="91" spans="1:19" x14ac:dyDescent="0.25">
      <c r="A91" s="115">
        <v>23</v>
      </c>
      <c r="B91" s="116" t="s">
        <v>232</v>
      </c>
      <c r="C91" s="29">
        <v>0</v>
      </c>
      <c r="D91" s="109">
        <v>2048</v>
      </c>
      <c r="E91" s="29">
        <v>0</v>
      </c>
      <c r="F91" s="110"/>
      <c r="G91" s="29"/>
      <c r="H91" s="17"/>
      <c r="I91" s="29"/>
      <c r="J91" s="17"/>
      <c r="K91" s="17"/>
      <c r="L91" s="17"/>
      <c r="M91" s="17"/>
      <c r="N91" s="17"/>
      <c r="O91" s="17"/>
      <c r="P91" s="17"/>
      <c r="Q91" s="17"/>
      <c r="R91" s="17"/>
      <c r="S91" s="75"/>
    </row>
    <row r="92" spans="1:19" ht="16.5" thickBot="1" x14ac:dyDescent="0.3">
      <c r="A92" s="115">
        <v>24</v>
      </c>
      <c r="B92" s="116" t="s">
        <v>233</v>
      </c>
      <c r="C92" s="29">
        <v>0</v>
      </c>
      <c r="D92" s="109">
        <v>2048</v>
      </c>
      <c r="E92" s="29">
        <v>0</v>
      </c>
      <c r="F92" s="110"/>
      <c r="H92" s="29"/>
      <c r="I92" s="29"/>
      <c r="J92" s="17"/>
      <c r="K92" s="17"/>
      <c r="L92" s="17"/>
      <c r="M92" s="17"/>
      <c r="N92" s="17"/>
      <c r="O92" s="17"/>
      <c r="P92" s="17"/>
      <c r="Q92" s="17"/>
      <c r="R92" s="17"/>
      <c r="S92" s="75"/>
    </row>
    <row r="93" spans="1:19" ht="16.5" thickBot="1" x14ac:dyDescent="0.3">
      <c r="A93" s="115">
        <v>25</v>
      </c>
      <c r="B93" s="139" t="s">
        <v>234</v>
      </c>
      <c r="C93" s="141">
        <v>2</v>
      </c>
      <c r="D93" s="109">
        <v>2</v>
      </c>
      <c r="E93" s="29">
        <v>0</v>
      </c>
      <c r="F93" s="110"/>
      <c r="G93" s="29"/>
      <c r="H93" s="17"/>
      <c r="I93" s="29"/>
      <c r="J93" s="17"/>
      <c r="K93" s="17"/>
      <c r="L93" s="17"/>
      <c r="M93" s="17"/>
      <c r="N93" s="17"/>
      <c r="O93" s="17"/>
      <c r="P93" s="17"/>
      <c r="Q93" s="17"/>
      <c r="R93" s="17"/>
      <c r="S93" s="75"/>
    </row>
    <row r="94" spans="1:19" x14ac:dyDescent="0.25">
      <c r="A94" s="115">
        <v>26</v>
      </c>
      <c r="B94" s="116" t="s">
        <v>235</v>
      </c>
      <c r="C94" s="29">
        <v>2</v>
      </c>
      <c r="D94" s="109">
        <v>2</v>
      </c>
      <c r="E94" s="29">
        <v>0</v>
      </c>
      <c r="F94" s="110"/>
      <c r="G94" s="29"/>
      <c r="H94" s="17"/>
      <c r="I94" s="29"/>
      <c r="J94" s="17"/>
      <c r="K94" s="17"/>
      <c r="L94" s="17"/>
      <c r="M94" s="17"/>
      <c r="N94" s="17"/>
      <c r="O94" s="17"/>
      <c r="P94" s="17"/>
      <c r="Q94" s="17"/>
      <c r="R94" s="17"/>
      <c r="S94" s="75"/>
    </row>
    <row r="95" spans="1:19" x14ac:dyDescent="0.25">
      <c r="A95" s="115">
        <v>27</v>
      </c>
      <c r="B95" s="116" t="s">
        <v>236</v>
      </c>
      <c r="C95" s="29">
        <v>2</v>
      </c>
      <c r="D95" s="109">
        <v>2</v>
      </c>
      <c r="E95" s="29">
        <v>0</v>
      </c>
      <c r="F95" s="110"/>
      <c r="G95" s="29"/>
      <c r="H95" s="17"/>
      <c r="I95" s="29"/>
      <c r="J95" s="17"/>
      <c r="K95" s="17"/>
      <c r="L95" s="17"/>
      <c r="M95" s="17"/>
      <c r="N95" s="17"/>
      <c r="O95" s="17"/>
      <c r="P95" s="17"/>
      <c r="Q95" s="17"/>
      <c r="R95" s="17"/>
      <c r="S95" s="75"/>
    </row>
    <row r="96" spans="1:19" x14ac:dyDescent="0.25">
      <c r="A96" s="115">
        <v>28</v>
      </c>
      <c r="B96" s="116" t="s">
        <v>237</v>
      </c>
      <c r="C96" s="29">
        <v>0</v>
      </c>
      <c r="D96" s="109">
        <v>2</v>
      </c>
      <c r="E96" s="29">
        <v>0</v>
      </c>
      <c r="F96" s="110"/>
      <c r="G96" s="29"/>
      <c r="H96" s="17"/>
      <c r="I96" s="29"/>
      <c r="J96" s="17"/>
      <c r="K96" s="17"/>
      <c r="L96" s="17"/>
      <c r="M96" s="17"/>
      <c r="N96" s="17"/>
      <c r="O96" s="17"/>
      <c r="P96" s="17"/>
      <c r="Q96" s="17"/>
      <c r="R96" s="17"/>
      <c r="S96" s="75"/>
    </row>
    <row r="97" spans="1:19" x14ac:dyDescent="0.25">
      <c r="A97" s="115">
        <v>29</v>
      </c>
      <c r="B97" s="116" t="s">
        <v>238</v>
      </c>
      <c r="C97" s="29">
        <v>0</v>
      </c>
      <c r="D97" s="109">
        <v>2</v>
      </c>
      <c r="E97" s="29">
        <v>0</v>
      </c>
      <c r="F97" s="110"/>
      <c r="G97" s="29"/>
      <c r="H97" s="17"/>
      <c r="I97" s="29"/>
      <c r="J97" s="17"/>
      <c r="K97" s="17"/>
      <c r="L97" s="17"/>
      <c r="M97" s="17"/>
      <c r="N97" s="17"/>
      <c r="O97" s="17"/>
      <c r="P97" s="17"/>
      <c r="Q97" s="17"/>
      <c r="R97" s="17"/>
      <c r="S97" s="75"/>
    </row>
    <row r="98" spans="1:19" x14ac:dyDescent="0.25">
      <c r="A98" s="115">
        <v>30</v>
      </c>
      <c r="B98" s="116" t="s">
        <v>239</v>
      </c>
      <c r="C98" s="29">
        <v>0</v>
      </c>
      <c r="D98" s="109">
        <v>2</v>
      </c>
      <c r="E98" s="29">
        <v>0</v>
      </c>
      <c r="F98" s="110"/>
      <c r="G98" s="29"/>
      <c r="H98" s="17"/>
      <c r="I98" s="29"/>
      <c r="J98" s="17"/>
      <c r="K98" s="17"/>
      <c r="L98" s="17"/>
      <c r="M98" s="17"/>
      <c r="N98" s="17"/>
      <c r="O98" s="17"/>
      <c r="P98" s="17"/>
      <c r="Q98" s="17"/>
      <c r="R98" s="17"/>
      <c r="S98" s="75"/>
    </row>
    <row r="99" spans="1:19" x14ac:dyDescent="0.25">
      <c r="A99" s="115">
        <v>31</v>
      </c>
      <c r="B99" s="116" t="s">
        <v>240</v>
      </c>
      <c r="C99" s="29">
        <v>0</v>
      </c>
      <c r="D99" s="109">
        <v>2</v>
      </c>
      <c r="E99" s="29">
        <v>0</v>
      </c>
      <c r="F99" s="110"/>
      <c r="G99" s="29"/>
      <c r="H99" s="17"/>
      <c r="I99" s="29"/>
      <c r="J99" s="17"/>
      <c r="K99" s="17"/>
      <c r="L99" s="17"/>
      <c r="M99" s="17"/>
      <c r="N99" s="17"/>
      <c r="O99" s="17"/>
      <c r="P99" s="17"/>
      <c r="Q99" s="17"/>
      <c r="R99" s="17"/>
      <c r="S99" s="75"/>
    </row>
    <row r="100" spans="1:19" x14ac:dyDescent="0.25">
      <c r="A100" s="115">
        <v>32</v>
      </c>
      <c r="B100" s="116" t="s">
        <v>241</v>
      </c>
      <c r="C100" s="29">
        <v>0</v>
      </c>
      <c r="D100" s="109">
        <v>2</v>
      </c>
      <c r="E100" s="29">
        <v>0</v>
      </c>
      <c r="F100" s="110"/>
      <c r="G100" s="29"/>
      <c r="H100" s="17"/>
      <c r="I100" s="29"/>
      <c r="J100" s="17"/>
      <c r="K100" s="17"/>
      <c r="L100" s="17"/>
      <c r="M100" s="17"/>
      <c r="N100" s="17"/>
      <c r="O100" s="17"/>
      <c r="P100" s="17"/>
      <c r="Q100" s="17"/>
      <c r="R100" s="17"/>
      <c r="S100" s="75"/>
    </row>
    <row r="101" spans="1:19" x14ac:dyDescent="0.25">
      <c r="A101" s="115">
        <v>33</v>
      </c>
      <c r="B101" s="116" t="s">
        <v>242</v>
      </c>
      <c r="C101" s="29">
        <v>0</v>
      </c>
      <c r="D101" s="109">
        <v>2</v>
      </c>
      <c r="E101" s="29">
        <v>0</v>
      </c>
      <c r="F101" s="110"/>
      <c r="G101" s="29"/>
      <c r="H101" s="17"/>
      <c r="I101" s="29"/>
      <c r="J101" s="17"/>
      <c r="K101" s="17"/>
      <c r="L101" s="17"/>
      <c r="M101" s="17"/>
      <c r="N101" s="17"/>
      <c r="O101" s="17"/>
      <c r="P101" s="17"/>
      <c r="Q101" s="17"/>
      <c r="R101" s="17"/>
      <c r="S101" s="75"/>
    </row>
    <row r="102" spans="1:19" x14ac:dyDescent="0.25">
      <c r="A102" s="115">
        <v>34</v>
      </c>
      <c r="B102" s="116" t="s">
        <v>243</v>
      </c>
      <c r="C102" s="29">
        <v>0</v>
      </c>
      <c r="D102" s="109">
        <v>2</v>
      </c>
      <c r="E102" s="29">
        <v>0</v>
      </c>
      <c r="F102" s="110"/>
      <c r="G102" s="29"/>
      <c r="H102" s="17"/>
      <c r="I102" s="29"/>
      <c r="J102" s="17"/>
      <c r="K102" s="17"/>
      <c r="L102" s="17"/>
      <c r="M102" s="17"/>
      <c r="N102" s="17"/>
      <c r="O102" s="17"/>
      <c r="P102" s="17"/>
      <c r="Q102" s="17"/>
      <c r="R102" s="17"/>
      <c r="S102" s="75"/>
    </row>
    <row r="103" spans="1:19" x14ac:dyDescent="0.25">
      <c r="A103" s="115">
        <v>35</v>
      </c>
      <c r="B103" s="116" t="s">
        <v>244</v>
      </c>
      <c r="C103" s="29">
        <v>0</v>
      </c>
      <c r="D103" s="109">
        <v>2</v>
      </c>
      <c r="E103" s="29">
        <v>0</v>
      </c>
      <c r="F103" s="110"/>
      <c r="G103" s="29"/>
      <c r="H103" s="17"/>
      <c r="I103" s="29"/>
      <c r="J103" s="17"/>
      <c r="K103" s="17"/>
      <c r="L103" s="17"/>
      <c r="M103" s="17"/>
      <c r="N103" s="17"/>
      <c r="O103" s="17"/>
      <c r="P103" s="17"/>
      <c r="Q103" s="17"/>
      <c r="R103" s="17"/>
      <c r="S103" s="75"/>
    </row>
    <row r="104" spans="1:19" x14ac:dyDescent="0.25">
      <c r="A104" s="115">
        <v>36</v>
      </c>
      <c r="B104" s="116" t="s">
        <v>245</v>
      </c>
      <c r="C104" s="29">
        <v>0</v>
      </c>
      <c r="D104" s="109">
        <v>2</v>
      </c>
      <c r="E104" s="29">
        <v>0</v>
      </c>
      <c r="F104" s="110"/>
      <c r="G104" s="29"/>
      <c r="H104" s="17"/>
      <c r="I104" s="29"/>
      <c r="J104" s="17"/>
      <c r="K104" s="17"/>
      <c r="L104" s="17"/>
      <c r="M104" s="17"/>
      <c r="N104" s="17"/>
      <c r="O104" s="17"/>
      <c r="P104" s="17"/>
      <c r="Q104" s="17"/>
      <c r="R104" s="17"/>
      <c r="S104" s="75"/>
    </row>
    <row r="105" spans="1:19" x14ac:dyDescent="0.25">
      <c r="A105" s="115">
        <v>37</v>
      </c>
      <c r="B105" s="116" t="s">
        <v>246</v>
      </c>
      <c r="C105" s="29">
        <v>0</v>
      </c>
      <c r="D105" s="109">
        <v>2</v>
      </c>
      <c r="E105" s="29">
        <v>0</v>
      </c>
      <c r="F105" s="110"/>
      <c r="G105" s="29"/>
      <c r="H105" s="17"/>
      <c r="I105" s="29"/>
      <c r="J105" s="17"/>
      <c r="K105" s="17"/>
      <c r="L105" s="17"/>
      <c r="M105" s="17"/>
      <c r="N105" s="17"/>
      <c r="O105" s="17"/>
      <c r="P105" s="17"/>
      <c r="Q105" s="17"/>
      <c r="R105" s="17"/>
      <c r="S105" s="75"/>
    </row>
    <row r="106" spans="1:19" x14ac:dyDescent="0.25">
      <c r="A106" s="115">
        <v>38</v>
      </c>
      <c r="B106" s="116" t="s">
        <v>247</v>
      </c>
      <c r="C106" s="29">
        <v>0</v>
      </c>
      <c r="D106" s="109">
        <v>2</v>
      </c>
      <c r="E106" s="29">
        <v>0</v>
      </c>
      <c r="F106" s="110"/>
      <c r="G106" s="29"/>
      <c r="H106" s="17"/>
      <c r="I106" s="29"/>
      <c r="J106" s="17"/>
      <c r="K106" s="17"/>
      <c r="L106" s="17"/>
      <c r="M106" s="17"/>
      <c r="N106" s="17"/>
      <c r="O106" s="17"/>
      <c r="P106" s="17"/>
      <c r="Q106" s="17"/>
      <c r="R106" s="17"/>
      <c r="S106" s="75"/>
    </row>
    <row r="107" spans="1:19" x14ac:dyDescent="0.25">
      <c r="A107" s="115">
        <v>39</v>
      </c>
      <c r="B107" s="116" t="s">
        <v>248</v>
      </c>
      <c r="C107" s="29">
        <v>0</v>
      </c>
      <c r="D107" s="109">
        <v>2</v>
      </c>
      <c r="E107" s="29">
        <v>0</v>
      </c>
      <c r="F107" s="110"/>
      <c r="G107" s="29"/>
      <c r="H107" s="17"/>
      <c r="I107" s="29"/>
      <c r="J107" s="17"/>
      <c r="K107" s="17"/>
      <c r="L107" s="17"/>
      <c r="M107" s="17"/>
      <c r="N107" s="17"/>
      <c r="O107" s="17"/>
      <c r="P107" s="17"/>
      <c r="Q107" s="17"/>
      <c r="R107" s="17"/>
      <c r="S107" s="75"/>
    </row>
    <row r="108" spans="1:19" x14ac:dyDescent="0.25">
      <c r="A108" s="115">
        <v>40</v>
      </c>
      <c r="B108" s="116" t="s">
        <v>249</v>
      </c>
      <c r="C108" s="29">
        <v>0</v>
      </c>
      <c r="D108" s="109">
        <v>2</v>
      </c>
      <c r="E108" s="29">
        <v>0</v>
      </c>
      <c r="F108" s="110"/>
      <c r="G108" s="29"/>
      <c r="H108" s="17"/>
      <c r="I108" s="29"/>
      <c r="J108" s="17"/>
      <c r="K108" s="17"/>
      <c r="L108" s="17"/>
      <c r="M108" s="17"/>
      <c r="N108" s="17"/>
      <c r="O108" s="17"/>
      <c r="P108" s="17"/>
      <c r="Q108" s="17"/>
      <c r="R108" s="17"/>
      <c r="S108" s="75"/>
    </row>
    <row r="109" spans="1:19" x14ac:dyDescent="0.25">
      <c r="A109" s="115">
        <v>41</v>
      </c>
      <c r="B109" s="116" t="s">
        <v>250</v>
      </c>
      <c r="C109" s="29">
        <v>0</v>
      </c>
      <c r="D109" s="109">
        <v>2</v>
      </c>
      <c r="E109" s="29">
        <v>0</v>
      </c>
      <c r="F109" s="110"/>
      <c r="G109" s="29"/>
      <c r="H109" s="17"/>
      <c r="I109" s="29"/>
      <c r="J109" s="17"/>
      <c r="K109" s="17"/>
      <c r="L109" s="17"/>
      <c r="M109" s="17"/>
      <c r="N109" s="17"/>
      <c r="O109" s="17"/>
      <c r="P109" s="17"/>
      <c r="Q109" s="17"/>
      <c r="R109" s="17"/>
      <c r="S109" s="75"/>
    </row>
    <row r="110" spans="1:19" x14ac:dyDescent="0.25">
      <c r="A110" s="115">
        <v>42</v>
      </c>
      <c r="B110" s="116" t="s">
        <v>251</v>
      </c>
      <c r="C110" s="29">
        <v>0</v>
      </c>
      <c r="D110" s="109">
        <v>2</v>
      </c>
      <c r="E110" s="29">
        <v>0</v>
      </c>
      <c r="F110" s="110"/>
      <c r="G110" s="29"/>
      <c r="H110" s="17"/>
      <c r="I110" s="29"/>
      <c r="J110" s="17"/>
      <c r="K110" s="17"/>
      <c r="L110" s="17"/>
      <c r="M110" s="17"/>
      <c r="N110" s="17"/>
      <c r="O110" s="17"/>
      <c r="P110" s="17"/>
      <c r="Q110" s="17"/>
      <c r="R110" s="17"/>
      <c r="S110" s="75"/>
    </row>
    <row r="111" spans="1:19" x14ac:dyDescent="0.25">
      <c r="A111" s="115">
        <v>43</v>
      </c>
      <c r="B111" s="116" t="s">
        <v>252</v>
      </c>
      <c r="C111" s="29">
        <v>0</v>
      </c>
      <c r="D111" s="109">
        <v>0</v>
      </c>
      <c r="E111" s="29">
        <v>0</v>
      </c>
      <c r="F111" s="110"/>
      <c r="G111" s="29"/>
      <c r="H111" s="17"/>
      <c r="I111" s="29"/>
      <c r="J111" s="17"/>
      <c r="K111" s="17"/>
      <c r="L111" s="17"/>
      <c r="M111" s="17"/>
      <c r="N111" s="17"/>
      <c r="O111" s="17"/>
      <c r="P111" s="17"/>
      <c r="Q111" s="17"/>
      <c r="R111" s="17"/>
      <c r="S111" s="75"/>
    </row>
    <row r="112" spans="1:19" x14ac:dyDescent="0.25">
      <c r="A112" s="115">
        <v>44</v>
      </c>
      <c r="B112" s="116" t="s">
        <v>253</v>
      </c>
      <c r="C112" s="29">
        <v>0</v>
      </c>
      <c r="D112" s="109">
        <v>0</v>
      </c>
      <c r="E112" s="29">
        <v>0</v>
      </c>
      <c r="F112" s="110"/>
      <c r="G112" s="29"/>
      <c r="H112" s="17"/>
      <c r="I112" s="29"/>
      <c r="J112" s="17"/>
      <c r="K112" s="17"/>
      <c r="L112" s="17"/>
      <c r="M112" s="17"/>
      <c r="N112" s="17"/>
      <c r="O112" s="17"/>
      <c r="P112" s="17"/>
      <c r="Q112" s="17"/>
      <c r="R112" s="17"/>
      <c r="S112" s="75"/>
    </row>
    <row r="113" spans="1:19" x14ac:dyDescent="0.25">
      <c r="A113" s="115">
        <v>45</v>
      </c>
      <c r="B113" s="116" t="s">
        <v>254</v>
      </c>
      <c r="C113" s="29">
        <v>0</v>
      </c>
      <c r="D113" s="109">
        <v>0</v>
      </c>
      <c r="E113" s="29">
        <v>0</v>
      </c>
      <c r="F113" s="110"/>
      <c r="G113" s="29"/>
      <c r="H113" s="17"/>
      <c r="I113" s="29"/>
      <c r="J113" s="17"/>
      <c r="K113" s="17"/>
      <c r="L113" s="17"/>
      <c r="M113" s="17"/>
      <c r="N113" s="17"/>
      <c r="O113" s="17"/>
      <c r="P113" s="17"/>
      <c r="Q113" s="17"/>
      <c r="R113" s="17"/>
      <c r="S113" s="75"/>
    </row>
    <row r="114" spans="1:19" x14ac:dyDescent="0.25">
      <c r="A114" s="115">
        <v>46</v>
      </c>
      <c r="B114" s="116" t="s">
        <v>255</v>
      </c>
      <c r="C114" s="29">
        <v>0</v>
      </c>
      <c r="D114" s="109">
        <v>0</v>
      </c>
      <c r="E114" s="29">
        <v>0</v>
      </c>
      <c r="F114" s="110"/>
      <c r="G114" s="29"/>
      <c r="H114" s="17"/>
      <c r="I114" s="29"/>
      <c r="J114" s="17"/>
      <c r="K114" s="17"/>
      <c r="L114" s="17"/>
      <c r="M114" s="17"/>
      <c r="N114" s="17"/>
      <c r="O114" s="17"/>
      <c r="P114" s="17"/>
      <c r="Q114" s="17"/>
      <c r="R114" s="17"/>
      <c r="S114" s="75"/>
    </row>
    <row r="115" spans="1:19" x14ac:dyDescent="0.25">
      <c r="A115" s="115">
        <v>47</v>
      </c>
      <c r="B115" s="116" t="s">
        <v>256</v>
      </c>
      <c r="C115" s="29">
        <v>0</v>
      </c>
      <c r="D115" s="109">
        <v>0</v>
      </c>
      <c r="E115" s="29">
        <v>0</v>
      </c>
      <c r="F115" s="110"/>
      <c r="G115" s="29"/>
      <c r="H115" s="17"/>
      <c r="I115" s="29"/>
      <c r="J115" s="17"/>
      <c r="K115" s="17"/>
      <c r="L115" s="17"/>
      <c r="M115" s="17"/>
      <c r="N115" s="17"/>
      <c r="O115" s="17"/>
      <c r="P115" s="17"/>
      <c r="Q115" s="17"/>
      <c r="R115" s="17"/>
      <c r="S115" s="75"/>
    </row>
    <row r="116" spans="1:19" x14ac:dyDescent="0.25">
      <c r="A116" s="115">
        <v>48</v>
      </c>
      <c r="B116" s="116" t="s">
        <v>257</v>
      </c>
      <c r="C116" s="29">
        <v>0</v>
      </c>
      <c r="D116" s="109">
        <v>0</v>
      </c>
      <c r="E116" s="29">
        <v>0</v>
      </c>
      <c r="F116" s="110"/>
      <c r="G116" s="29"/>
      <c r="H116" s="17"/>
      <c r="I116" s="29"/>
      <c r="J116" s="17"/>
      <c r="K116" s="17"/>
      <c r="L116" s="17"/>
      <c r="M116" s="17"/>
      <c r="N116" s="17"/>
      <c r="O116" s="17"/>
      <c r="P116" s="17"/>
      <c r="Q116" s="17"/>
      <c r="R116" s="17"/>
      <c r="S116" s="75"/>
    </row>
    <row r="117" spans="1:19" x14ac:dyDescent="0.25">
      <c r="A117" s="115">
        <v>49</v>
      </c>
      <c r="B117" s="116" t="s">
        <v>258</v>
      </c>
      <c r="C117" s="29">
        <v>0</v>
      </c>
      <c r="D117" s="109">
        <v>0</v>
      </c>
      <c r="E117" s="29">
        <v>0</v>
      </c>
      <c r="F117" s="110"/>
      <c r="G117" s="29"/>
      <c r="H117" s="17"/>
      <c r="I117" s="29"/>
      <c r="J117" s="17"/>
      <c r="K117" s="17"/>
      <c r="L117" s="17"/>
      <c r="M117" s="17"/>
      <c r="N117" s="17"/>
      <c r="O117" s="17"/>
      <c r="P117" s="17"/>
      <c r="Q117" s="17"/>
      <c r="R117" s="17"/>
      <c r="S117" s="75"/>
    </row>
    <row r="118" spans="1:19" x14ac:dyDescent="0.25">
      <c r="A118" s="115">
        <v>50</v>
      </c>
      <c r="B118" s="116" t="s">
        <v>259</v>
      </c>
      <c r="C118" s="29">
        <v>0</v>
      </c>
      <c r="D118" s="109">
        <v>0</v>
      </c>
      <c r="E118" s="29">
        <v>0</v>
      </c>
      <c r="F118" s="110"/>
      <c r="G118" s="29"/>
      <c r="H118" s="17"/>
      <c r="I118" s="29"/>
      <c r="J118" s="17"/>
      <c r="K118" s="17"/>
      <c r="L118" s="17"/>
      <c r="M118" s="17"/>
      <c r="N118" s="17"/>
      <c r="O118" s="17"/>
      <c r="P118" s="17"/>
      <c r="Q118" s="17"/>
      <c r="R118" s="17"/>
      <c r="S118" s="75"/>
    </row>
    <row r="119" spans="1:19" x14ac:dyDescent="0.25">
      <c r="A119" s="115">
        <v>51</v>
      </c>
      <c r="B119" s="116" t="s">
        <v>260</v>
      </c>
      <c r="C119" s="29">
        <v>0</v>
      </c>
      <c r="D119" s="109">
        <v>0</v>
      </c>
      <c r="E119" s="29">
        <v>0</v>
      </c>
      <c r="F119" s="110"/>
      <c r="G119" s="29"/>
      <c r="H119" s="17"/>
      <c r="I119" s="29"/>
      <c r="J119" s="17"/>
      <c r="K119" s="17"/>
      <c r="L119" s="17"/>
      <c r="M119" s="17"/>
      <c r="N119" s="17"/>
      <c r="O119" s="17"/>
      <c r="P119" s="17"/>
      <c r="Q119" s="17"/>
      <c r="R119" s="17"/>
      <c r="S119" s="75"/>
    </row>
    <row r="120" spans="1:19" x14ac:dyDescent="0.25">
      <c r="A120" s="115">
        <v>52</v>
      </c>
      <c r="B120" s="116" t="s">
        <v>261</v>
      </c>
      <c r="C120" s="29">
        <v>0</v>
      </c>
      <c r="D120" s="109">
        <v>0</v>
      </c>
      <c r="E120" s="29">
        <v>0</v>
      </c>
      <c r="F120" s="110"/>
      <c r="G120" s="29"/>
      <c r="H120" s="17"/>
      <c r="I120" s="29"/>
      <c r="J120" s="17"/>
      <c r="K120" s="17"/>
      <c r="L120" s="17"/>
      <c r="M120" s="17"/>
      <c r="N120" s="17"/>
      <c r="O120" s="17"/>
      <c r="P120" s="17"/>
      <c r="Q120" s="17"/>
      <c r="R120" s="17"/>
      <c r="S120" s="75"/>
    </row>
    <row r="121" spans="1:19" x14ac:dyDescent="0.25">
      <c r="A121" s="115">
        <v>53</v>
      </c>
      <c r="B121" s="116" t="s">
        <v>262</v>
      </c>
      <c r="C121" s="29">
        <v>0</v>
      </c>
      <c r="D121" s="109">
        <v>0</v>
      </c>
      <c r="E121" s="29">
        <v>0</v>
      </c>
      <c r="F121" s="110"/>
      <c r="G121" s="29"/>
      <c r="H121" s="17"/>
      <c r="I121" s="29"/>
      <c r="J121" s="17"/>
      <c r="K121" s="17"/>
      <c r="L121" s="17"/>
      <c r="M121" s="17"/>
      <c r="N121" s="17"/>
      <c r="O121" s="17"/>
      <c r="P121" s="17"/>
      <c r="Q121" s="17"/>
      <c r="R121" s="17"/>
      <c r="S121" s="75"/>
    </row>
    <row r="122" spans="1:19" x14ac:dyDescent="0.25">
      <c r="A122" s="115">
        <v>54</v>
      </c>
      <c r="B122" s="116" t="s">
        <v>263</v>
      </c>
      <c r="C122" s="29">
        <v>0</v>
      </c>
      <c r="D122" s="109">
        <v>14845</v>
      </c>
      <c r="E122" s="29">
        <v>0</v>
      </c>
      <c r="F122" s="110"/>
      <c r="G122" s="29"/>
      <c r="H122" s="17"/>
      <c r="I122" s="29"/>
      <c r="J122" s="17"/>
      <c r="K122" s="17"/>
      <c r="L122" s="17"/>
      <c r="M122" s="17"/>
      <c r="N122" s="17"/>
      <c r="O122" s="17"/>
      <c r="P122" s="17"/>
      <c r="Q122" s="17"/>
      <c r="R122" s="17"/>
      <c r="S122" s="75"/>
    </row>
    <row r="123" spans="1:19" x14ac:dyDescent="0.25">
      <c r="A123" s="115">
        <v>55</v>
      </c>
      <c r="B123" s="116" t="s">
        <v>264</v>
      </c>
      <c r="C123" s="29">
        <v>0</v>
      </c>
      <c r="D123" s="109">
        <v>14845</v>
      </c>
      <c r="E123" s="29">
        <v>0</v>
      </c>
      <c r="F123" s="110"/>
      <c r="G123" s="29"/>
      <c r="H123" s="17"/>
      <c r="I123" s="29"/>
      <c r="J123" s="17"/>
      <c r="K123" s="17"/>
      <c r="L123" s="17"/>
      <c r="M123" s="17"/>
      <c r="N123" s="17"/>
      <c r="O123" s="17"/>
      <c r="P123" s="17"/>
      <c r="Q123" s="17"/>
      <c r="R123" s="17"/>
      <c r="S123" s="75"/>
    </row>
    <row r="124" spans="1:19" x14ac:dyDescent="0.25">
      <c r="A124" s="115">
        <v>56</v>
      </c>
      <c r="B124" s="116" t="s">
        <v>265</v>
      </c>
      <c r="C124" s="29">
        <v>0</v>
      </c>
      <c r="D124" s="109">
        <v>14845</v>
      </c>
      <c r="E124" s="29">
        <v>0</v>
      </c>
      <c r="F124" s="110"/>
      <c r="G124" s="29"/>
      <c r="H124" s="17"/>
      <c r="I124" s="29"/>
      <c r="J124" s="17"/>
      <c r="K124" s="17"/>
      <c r="L124" s="17"/>
      <c r="M124" s="17"/>
      <c r="N124" s="17"/>
      <c r="O124" s="17"/>
      <c r="P124" s="17"/>
      <c r="Q124" s="17"/>
      <c r="R124" s="17"/>
      <c r="S124" s="75"/>
    </row>
    <row r="125" spans="1:19" x14ac:dyDescent="0.25">
      <c r="A125" s="115">
        <v>57</v>
      </c>
      <c r="B125" s="116" t="s">
        <v>266</v>
      </c>
      <c r="C125" s="29">
        <v>0</v>
      </c>
      <c r="D125" s="109">
        <v>14845</v>
      </c>
      <c r="E125" s="29">
        <v>0</v>
      </c>
      <c r="F125" s="110"/>
      <c r="G125" s="29"/>
      <c r="H125" s="17"/>
      <c r="I125" s="29"/>
      <c r="J125" s="17"/>
      <c r="K125" s="17"/>
      <c r="L125" s="17"/>
      <c r="M125" s="17"/>
      <c r="N125" s="17"/>
      <c r="O125" s="17"/>
      <c r="P125" s="17"/>
      <c r="Q125" s="17"/>
      <c r="R125" s="17"/>
      <c r="S125" s="75"/>
    </row>
    <row r="126" spans="1:19" x14ac:dyDescent="0.25">
      <c r="A126" s="115">
        <v>58</v>
      </c>
      <c r="B126" s="116" t="s">
        <v>267</v>
      </c>
      <c r="C126" s="29">
        <v>0</v>
      </c>
      <c r="D126" s="109">
        <v>14845</v>
      </c>
      <c r="E126" s="29">
        <v>0</v>
      </c>
      <c r="F126" s="110"/>
      <c r="G126" s="29"/>
      <c r="H126" s="17"/>
      <c r="I126" s="29"/>
      <c r="J126" s="17"/>
      <c r="K126" s="17"/>
      <c r="L126" s="17"/>
      <c r="M126" s="17"/>
      <c r="N126" s="17"/>
      <c r="O126" s="17"/>
      <c r="P126" s="17"/>
      <c r="Q126" s="17"/>
      <c r="R126" s="17"/>
      <c r="S126" s="75"/>
    </row>
    <row r="127" spans="1:19" x14ac:dyDescent="0.25">
      <c r="A127" s="115">
        <v>59</v>
      </c>
      <c r="B127" s="116" t="s">
        <v>268</v>
      </c>
      <c r="C127" s="29">
        <v>0</v>
      </c>
      <c r="D127" s="109">
        <v>14845</v>
      </c>
      <c r="E127" s="29">
        <v>0</v>
      </c>
      <c r="F127" s="110"/>
      <c r="G127" s="29"/>
      <c r="H127" s="17"/>
      <c r="I127" s="29"/>
      <c r="J127" s="17"/>
      <c r="K127" s="17"/>
      <c r="L127" s="17"/>
      <c r="M127" s="17"/>
      <c r="N127" s="17"/>
      <c r="O127" s="17"/>
      <c r="P127" s="17"/>
      <c r="Q127" s="17"/>
      <c r="R127" s="17"/>
      <c r="S127" s="75"/>
    </row>
    <row r="128" spans="1:19" x14ac:dyDescent="0.25">
      <c r="A128" s="115">
        <v>60</v>
      </c>
      <c r="B128" s="116" t="s">
        <v>269</v>
      </c>
      <c r="C128" s="29">
        <v>0</v>
      </c>
      <c r="D128" s="109">
        <v>14845</v>
      </c>
      <c r="E128" s="29">
        <v>0</v>
      </c>
      <c r="F128" s="110"/>
      <c r="G128" s="29"/>
      <c r="H128" s="17"/>
      <c r="I128" s="29"/>
      <c r="J128" s="17"/>
      <c r="K128" s="17"/>
      <c r="L128" s="17"/>
      <c r="M128" s="17"/>
      <c r="N128" s="17"/>
      <c r="O128" s="17"/>
      <c r="P128" s="17"/>
      <c r="Q128" s="17"/>
      <c r="R128" s="17"/>
      <c r="S128" s="75"/>
    </row>
    <row r="129" spans="1:19" x14ac:dyDescent="0.25">
      <c r="A129" s="115">
        <v>61</v>
      </c>
      <c r="B129" s="116" t="s">
        <v>270</v>
      </c>
      <c r="C129" s="29">
        <v>0</v>
      </c>
      <c r="D129" s="109">
        <v>14845</v>
      </c>
      <c r="E129" s="29">
        <v>0</v>
      </c>
      <c r="F129" s="110"/>
      <c r="G129" s="29"/>
      <c r="H129" s="17"/>
      <c r="I129" s="29"/>
      <c r="J129" s="17"/>
      <c r="K129" s="17"/>
      <c r="L129" s="17"/>
      <c r="M129" s="17"/>
      <c r="N129" s="17"/>
      <c r="O129" s="17"/>
      <c r="P129" s="17"/>
      <c r="Q129" s="17"/>
      <c r="R129" s="17"/>
      <c r="S129" s="75"/>
    </row>
    <row r="130" spans="1:19" x14ac:dyDescent="0.25">
      <c r="A130" s="115">
        <v>62</v>
      </c>
      <c r="B130" s="116" t="s">
        <v>271</v>
      </c>
      <c r="C130" s="29">
        <v>0</v>
      </c>
      <c r="D130" s="109">
        <v>14845</v>
      </c>
      <c r="E130" s="29">
        <v>0</v>
      </c>
      <c r="F130" s="110"/>
      <c r="G130" s="29"/>
      <c r="H130" s="17"/>
      <c r="I130" s="29"/>
      <c r="J130" s="17"/>
      <c r="K130" s="17"/>
      <c r="L130" s="17"/>
      <c r="M130" s="17"/>
      <c r="N130" s="17"/>
      <c r="O130" s="17"/>
      <c r="P130" s="17"/>
      <c r="Q130" s="17"/>
      <c r="R130" s="17"/>
      <c r="S130" s="75"/>
    </row>
    <row r="131" spans="1:19" x14ac:dyDescent="0.25">
      <c r="A131" s="115">
        <v>63</v>
      </c>
      <c r="B131" s="116" t="s">
        <v>272</v>
      </c>
      <c r="C131" s="29">
        <v>0</v>
      </c>
      <c r="D131" s="109">
        <v>14845</v>
      </c>
      <c r="E131" s="29">
        <v>0</v>
      </c>
      <c r="F131" s="110"/>
      <c r="G131" s="29"/>
      <c r="H131" s="17"/>
      <c r="I131" s="29"/>
      <c r="J131" s="17"/>
      <c r="K131" s="17"/>
      <c r="L131" s="17"/>
      <c r="M131" s="17"/>
      <c r="N131" s="17"/>
      <c r="O131" s="17"/>
      <c r="P131" s="17"/>
      <c r="Q131" s="17"/>
      <c r="R131" s="17"/>
      <c r="S131" s="75"/>
    </row>
    <row r="132" spans="1:19" x14ac:dyDescent="0.25">
      <c r="A132" s="115">
        <v>64</v>
      </c>
      <c r="B132" s="116" t="s">
        <v>273</v>
      </c>
      <c r="C132" s="29">
        <v>0</v>
      </c>
      <c r="D132" s="109">
        <v>0</v>
      </c>
      <c r="E132" s="29">
        <v>0</v>
      </c>
      <c r="F132" s="110"/>
      <c r="G132" s="29"/>
      <c r="H132" s="17"/>
      <c r="I132" s="29"/>
      <c r="J132" s="17"/>
      <c r="K132" s="17"/>
      <c r="L132" s="17"/>
      <c r="M132" s="17"/>
      <c r="N132" s="17"/>
      <c r="O132" s="17"/>
      <c r="P132" s="17"/>
      <c r="Q132" s="17"/>
      <c r="R132" s="17"/>
      <c r="S132" s="75"/>
    </row>
    <row r="133" spans="1:19" x14ac:dyDescent="0.25">
      <c r="A133" s="115">
        <v>65</v>
      </c>
      <c r="B133" s="116" t="s">
        <v>274</v>
      </c>
      <c r="C133" s="29">
        <v>0</v>
      </c>
      <c r="D133" s="109">
        <v>0</v>
      </c>
      <c r="E133" s="29">
        <v>0</v>
      </c>
      <c r="F133" s="110"/>
      <c r="G133" s="29"/>
      <c r="H133" s="17"/>
      <c r="I133" s="29"/>
      <c r="J133" s="17"/>
      <c r="K133" s="17"/>
      <c r="L133" s="17"/>
      <c r="M133" s="17"/>
      <c r="N133" s="17"/>
      <c r="O133" s="17"/>
      <c r="P133" s="17"/>
      <c r="Q133" s="17"/>
      <c r="R133" s="17"/>
      <c r="S133" s="75"/>
    </row>
    <row r="134" spans="1:19" x14ac:dyDescent="0.25">
      <c r="A134" s="115">
        <v>66</v>
      </c>
      <c r="B134" s="116" t="s">
        <v>275</v>
      </c>
      <c r="C134" s="29">
        <v>0</v>
      </c>
      <c r="D134" s="109">
        <v>0</v>
      </c>
      <c r="E134" s="29">
        <v>0</v>
      </c>
      <c r="F134" s="110"/>
      <c r="G134" s="29"/>
      <c r="H134" s="17"/>
      <c r="I134" s="29"/>
      <c r="J134" s="17"/>
      <c r="K134" s="17"/>
      <c r="L134" s="17"/>
      <c r="M134" s="17"/>
      <c r="N134" s="17"/>
      <c r="O134" s="17"/>
      <c r="P134" s="17"/>
      <c r="Q134" s="17"/>
      <c r="R134" s="17"/>
      <c r="S134" s="75"/>
    </row>
    <row r="135" spans="1:19" x14ac:dyDescent="0.25">
      <c r="A135" s="115">
        <v>67</v>
      </c>
      <c r="B135" s="116" t="s">
        <v>276</v>
      </c>
      <c r="C135" s="29">
        <v>0</v>
      </c>
      <c r="D135" s="109">
        <v>0</v>
      </c>
      <c r="E135" s="29">
        <v>0</v>
      </c>
      <c r="F135" s="110"/>
      <c r="G135" s="29"/>
      <c r="H135" s="17"/>
      <c r="I135" s="29"/>
      <c r="J135" s="17"/>
      <c r="K135" s="17"/>
      <c r="L135" s="17"/>
      <c r="M135" s="17"/>
      <c r="N135" s="17"/>
      <c r="O135" s="17"/>
      <c r="P135" s="17"/>
      <c r="Q135" s="17"/>
      <c r="R135" s="17"/>
      <c r="S135" s="75"/>
    </row>
    <row r="136" spans="1:19" x14ac:dyDescent="0.25">
      <c r="A136" s="115">
        <v>68</v>
      </c>
      <c r="B136" s="116" t="s">
        <v>277</v>
      </c>
      <c r="C136" s="29">
        <v>0</v>
      </c>
      <c r="D136" s="109">
        <v>0</v>
      </c>
      <c r="E136" s="29">
        <v>0</v>
      </c>
      <c r="F136" s="110"/>
      <c r="G136" s="29"/>
      <c r="H136" s="17"/>
      <c r="I136" s="29"/>
      <c r="J136" s="17"/>
      <c r="K136" s="17"/>
      <c r="L136" s="17"/>
      <c r="M136" s="17"/>
      <c r="N136" s="17"/>
      <c r="O136" s="17"/>
      <c r="P136" s="17"/>
      <c r="Q136" s="17"/>
      <c r="R136" s="17"/>
      <c r="S136" s="75"/>
    </row>
    <row r="137" spans="1:19" x14ac:dyDescent="0.25">
      <c r="A137" s="115">
        <v>69</v>
      </c>
      <c r="B137" s="116" t="s">
        <v>278</v>
      </c>
      <c r="C137" s="29">
        <v>0</v>
      </c>
      <c r="D137" s="109">
        <v>0</v>
      </c>
      <c r="E137" s="29">
        <v>0</v>
      </c>
      <c r="F137" s="110"/>
      <c r="G137" s="29"/>
      <c r="H137" s="17"/>
      <c r="I137" s="29"/>
      <c r="J137" s="17"/>
      <c r="K137" s="17"/>
      <c r="L137" s="17"/>
      <c r="M137" s="17"/>
      <c r="N137" s="17"/>
      <c r="O137" s="17"/>
      <c r="P137" s="17"/>
      <c r="Q137" s="17"/>
      <c r="R137" s="17"/>
      <c r="S137" s="75"/>
    </row>
    <row r="138" spans="1:19" x14ac:dyDescent="0.25">
      <c r="A138" s="115">
        <v>70</v>
      </c>
      <c r="B138" s="116" t="s">
        <v>279</v>
      </c>
      <c r="C138" s="29">
        <v>0</v>
      </c>
      <c r="D138" s="109">
        <v>0</v>
      </c>
      <c r="E138" s="29">
        <v>0</v>
      </c>
      <c r="F138" s="110"/>
      <c r="G138" s="29"/>
      <c r="H138" s="17"/>
      <c r="I138" s="29"/>
      <c r="J138" s="17"/>
      <c r="K138" s="17"/>
      <c r="L138" s="17"/>
      <c r="M138" s="17"/>
      <c r="N138" s="17"/>
      <c r="O138" s="17"/>
      <c r="P138" s="17"/>
      <c r="Q138" s="17"/>
      <c r="R138" s="17"/>
      <c r="S138" s="75"/>
    </row>
    <row r="139" spans="1:19" x14ac:dyDescent="0.25">
      <c r="A139" s="115">
        <v>71</v>
      </c>
      <c r="B139" s="116" t="s">
        <v>280</v>
      </c>
      <c r="C139" s="29">
        <v>0</v>
      </c>
      <c r="D139" s="109">
        <v>0</v>
      </c>
      <c r="E139" s="29">
        <v>0</v>
      </c>
      <c r="F139" s="110"/>
      <c r="G139" s="29"/>
      <c r="H139" s="17"/>
      <c r="I139" s="29"/>
      <c r="J139" s="17"/>
      <c r="K139" s="17"/>
      <c r="L139" s="17"/>
      <c r="M139" s="17"/>
      <c r="N139" s="17"/>
      <c r="O139" s="17"/>
      <c r="P139" s="17"/>
      <c r="Q139" s="17"/>
      <c r="R139" s="17"/>
      <c r="S139" s="75"/>
    </row>
    <row r="140" spans="1:19" x14ac:dyDescent="0.25">
      <c r="A140" s="115">
        <v>72</v>
      </c>
      <c r="B140" s="116" t="s">
        <v>281</v>
      </c>
      <c r="C140" s="29">
        <v>0</v>
      </c>
      <c r="D140" s="109">
        <v>0</v>
      </c>
      <c r="E140" s="29">
        <v>0</v>
      </c>
      <c r="F140" s="110"/>
      <c r="G140" s="29"/>
      <c r="H140" s="17"/>
      <c r="I140" s="29"/>
      <c r="J140" s="17"/>
      <c r="K140" s="17"/>
      <c r="L140" s="17"/>
      <c r="M140" s="17"/>
      <c r="N140" s="17"/>
      <c r="O140" s="17"/>
      <c r="P140" s="17"/>
      <c r="Q140" s="17"/>
      <c r="R140" s="17"/>
      <c r="S140" s="75"/>
    </row>
    <row r="141" spans="1:19" x14ac:dyDescent="0.25">
      <c r="A141" s="115">
        <v>73</v>
      </c>
      <c r="B141" s="116" t="s">
        <v>282</v>
      </c>
      <c r="C141" s="29">
        <v>0</v>
      </c>
      <c r="D141" s="109">
        <v>0</v>
      </c>
      <c r="E141" s="29">
        <v>0</v>
      </c>
      <c r="F141" s="110"/>
      <c r="G141" s="29"/>
      <c r="H141" s="17"/>
      <c r="I141" s="29"/>
      <c r="J141" s="17"/>
      <c r="K141" s="17"/>
      <c r="L141" s="17"/>
      <c r="M141" s="17"/>
      <c r="N141" s="17"/>
      <c r="O141" s="17"/>
      <c r="P141" s="17"/>
      <c r="Q141" s="17"/>
      <c r="R141" s="17"/>
      <c r="S141" s="75"/>
    </row>
    <row r="142" spans="1:19" x14ac:dyDescent="0.25">
      <c r="A142" s="115">
        <v>74</v>
      </c>
      <c r="B142" s="116" t="s">
        <v>283</v>
      </c>
      <c r="C142" s="29">
        <v>0</v>
      </c>
      <c r="D142" s="109">
        <v>0</v>
      </c>
      <c r="E142" s="29">
        <v>0</v>
      </c>
      <c r="F142" s="110"/>
      <c r="G142" s="29"/>
      <c r="H142" s="17"/>
      <c r="I142" s="29"/>
      <c r="J142" s="17"/>
      <c r="K142" s="17"/>
      <c r="L142" s="17"/>
      <c r="M142" s="17"/>
      <c r="N142" s="17"/>
      <c r="O142" s="17"/>
      <c r="P142" s="17"/>
      <c r="Q142" s="17"/>
      <c r="R142" s="17"/>
      <c r="S142" s="75"/>
    </row>
    <row r="143" spans="1:19" x14ac:dyDescent="0.25">
      <c r="A143" s="115">
        <v>75</v>
      </c>
      <c r="B143" s="116" t="s">
        <v>284</v>
      </c>
      <c r="C143" s="29">
        <v>0</v>
      </c>
      <c r="D143" s="109">
        <v>0</v>
      </c>
      <c r="E143" s="29">
        <v>0</v>
      </c>
      <c r="F143" s="110"/>
      <c r="G143" s="29"/>
      <c r="H143" s="17"/>
      <c r="I143" s="29"/>
      <c r="J143" s="17"/>
      <c r="K143" s="17"/>
      <c r="L143" s="17"/>
      <c r="M143" s="17"/>
      <c r="N143" s="17"/>
      <c r="O143" s="17"/>
      <c r="P143" s="17"/>
      <c r="Q143" s="17"/>
      <c r="R143" s="17"/>
      <c r="S143" s="75"/>
    </row>
    <row r="144" spans="1:19" x14ac:dyDescent="0.25">
      <c r="A144" s="115">
        <v>76</v>
      </c>
      <c r="B144" s="116" t="s">
        <v>285</v>
      </c>
      <c r="C144" s="29">
        <v>0</v>
      </c>
      <c r="D144" s="109">
        <v>0</v>
      </c>
      <c r="E144" s="29">
        <v>0</v>
      </c>
      <c r="F144" s="110"/>
      <c r="G144" s="29"/>
      <c r="H144" s="17"/>
      <c r="I144" s="29"/>
      <c r="J144" s="17"/>
      <c r="K144" s="17"/>
      <c r="L144" s="17"/>
      <c r="M144" s="17"/>
      <c r="N144" s="17"/>
      <c r="O144" s="17"/>
      <c r="P144" s="17"/>
      <c r="Q144" s="17"/>
      <c r="R144" s="17"/>
      <c r="S144" s="75"/>
    </row>
    <row r="145" spans="1:19" x14ac:dyDescent="0.25">
      <c r="A145" s="115">
        <v>77</v>
      </c>
      <c r="B145" s="116" t="s">
        <v>286</v>
      </c>
      <c r="C145" s="29">
        <v>0</v>
      </c>
      <c r="D145" s="109">
        <v>0</v>
      </c>
      <c r="E145" s="29">
        <v>0</v>
      </c>
      <c r="F145" s="110"/>
      <c r="G145" s="29"/>
      <c r="H145" s="17"/>
      <c r="I145" s="29"/>
      <c r="J145" s="17"/>
      <c r="K145" s="17"/>
      <c r="L145" s="17"/>
      <c r="M145" s="17"/>
      <c r="N145" s="17"/>
      <c r="O145" s="17"/>
      <c r="P145" s="17"/>
      <c r="Q145" s="17"/>
      <c r="R145" s="17"/>
      <c r="S145" s="75"/>
    </row>
    <row r="146" spans="1:19" x14ac:dyDescent="0.25">
      <c r="A146" s="115">
        <v>78</v>
      </c>
      <c r="B146" s="116" t="s">
        <v>287</v>
      </c>
      <c r="C146" s="29">
        <v>0</v>
      </c>
      <c r="D146" s="109">
        <v>0</v>
      </c>
      <c r="E146" s="29">
        <v>0</v>
      </c>
      <c r="F146" s="110"/>
      <c r="G146" s="29"/>
      <c r="H146" s="17"/>
      <c r="I146" s="29"/>
      <c r="J146" s="17"/>
      <c r="K146" s="17"/>
      <c r="L146" s="17"/>
      <c r="M146" s="17"/>
      <c r="N146" s="17"/>
      <c r="O146" s="17"/>
      <c r="P146" s="17"/>
      <c r="Q146" s="17"/>
      <c r="R146" s="17"/>
      <c r="S146" s="75"/>
    </row>
    <row r="147" spans="1:19" x14ac:dyDescent="0.25">
      <c r="A147" s="115">
        <v>79</v>
      </c>
      <c r="B147" s="116" t="s">
        <v>288</v>
      </c>
      <c r="C147" s="29">
        <v>0</v>
      </c>
      <c r="D147" s="109">
        <v>0</v>
      </c>
      <c r="E147" s="29">
        <v>0</v>
      </c>
      <c r="F147" s="110"/>
      <c r="G147" s="29"/>
      <c r="H147" s="17"/>
      <c r="I147" s="29"/>
      <c r="J147" s="17"/>
      <c r="K147" s="17"/>
      <c r="L147" s="17"/>
      <c r="M147" s="17"/>
      <c r="N147" s="17"/>
      <c r="O147" s="17"/>
      <c r="P147" s="17"/>
      <c r="Q147" s="17"/>
      <c r="R147" s="17"/>
      <c r="S147" s="75"/>
    </row>
    <row r="148" spans="1:19" x14ac:dyDescent="0.25">
      <c r="A148" s="115">
        <v>80</v>
      </c>
      <c r="B148" s="116" t="s">
        <v>289</v>
      </c>
      <c r="C148" s="29">
        <v>0</v>
      </c>
      <c r="D148" s="109">
        <v>0</v>
      </c>
      <c r="E148" s="29">
        <v>0</v>
      </c>
      <c r="F148" s="110"/>
      <c r="G148" s="29"/>
      <c r="H148" s="17"/>
      <c r="I148" s="29"/>
      <c r="J148" s="17"/>
      <c r="K148" s="17"/>
      <c r="L148" s="17"/>
      <c r="M148" s="17"/>
      <c r="N148" s="17"/>
      <c r="O148" s="17"/>
      <c r="P148" s="17"/>
      <c r="Q148" s="17"/>
      <c r="R148" s="17"/>
      <c r="S148" s="75"/>
    </row>
    <row r="149" spans="1:19" x14ac:dyDescent="0.25">
      <c r="A149" s="115">
        <v>81</v>
      </c>
      <c r="B149" s="116" t="s">
        <v>290</v>
      </c>
      <c r="C149" s="29">
        <v>0</v>
      </c>
      <c r="D149" s="109">
        <v>0</v>
      </c>
      <c r="E149" s="29">
        <v>0</v>
      </c>
      <c r="F149" s="110"/>
      <c r="G149" s="29"/>
      <c r="H149" s="17"/>
      <c r="I149" s="29"/>
      <c r="J149" s="17"/>
      <c r="K149" s="17"/>
      <c r="L149" s="17"/>
      <c r="M149" s="17"/>
      <c r="N149" s="17"/>
      <c r="O149" s="17"/>
      <c r="P149" s="17"/>
      <c r="Q149" s="17"/>
      <c r="R149" s="17"/>
      <c r="S149" s="75"/>
    </row>
    <row r="150" spans="1:19" x14ac:dyDescent="0.25">
      <c r="A150" s="115">
        <v>82</v>
      </c>
      <c r="B150" s="116" t="s">
        <v>291</v>
      </c>
      <c r="C150" s="29">
        <v>0</v>
      </c>
      <c r="D150" s="109">
        <v>0</v>
      </c>
      <c r="E150" s="29">
        <v>0</v>
      </c>
      <c r="F150" s="110"/>
      <c r="G150" s="29"/>
      <c r="H150" s="17"/>
      <c r="I150" s="29"/>
      <c r="J150" s="17"/>
      <c r="K150" s="17"/>
      <c r="L150" s="17"/>
      <c r="M150" s="17"/>
      <c r="N150" s="17"/>
      <c r="O150" s="17"/>
      <c r="P150" s="17"/>
      <c r="Q150" s="17"/>
      <c r="R150" s="17"/>
      <c r="S150" s="75"/>
    </row>
    <row r="151" spans="1:19" x14ac:dyDescent="0.25">
      <c r="A151" s="115">
        <v>83</v>
      </c>
      <c r="B151" s="116" t="s">
        <v>292</v>
      </c>
      <c r="C151" s="29">
        <v>0</v>
      </c>
      <c r="D151" s="109">
        <v>0</v>
      </c>
      <c r="E151" s="29">
        <v>0</v>
      </c>
      <c r="F151" s="110"/>
      <c r="G151" s="29"/>
      <c r="H151" s="17"/>
      <c r="I151" s="29"/>
      <c r="J151" s="17"/>
      <c r="K151" s="17"/>
      <c r="L151" s="17"/>
      <c r="M151" s="17"/>
      <c r="N151" s="17"/>
      <c r="O151" s="17"/>
      <c r="P151" s="17"/>
      <c r="Q151" s="17"/>
      <c r="R151" s="17"/>
      <c r="S151" s="75"/>
    </row>
    <row r="152" spans="1:19" x14ac:dyDescent="0.25">
      <c r="A152" s="115">
        <v>84</v>
      </c>
      <c r="B152" s="142" t="s">
        <v>293</v>
      </c>
      <c r="C152" s="29">
        <v>0</v>
      </c>
      <c r="D152" s="109">
        <v>14845</v>
      </c>
      <c r="E152" s="29">
        <v>0</v>
      </c>
      <c r="F152" s="110"/>
      <c r="G152" s="29"/>
      <c r="H152" s="17"/>
      <c r="I152" s="29"/>
      <c r="J152" s="17"/>
      <c r="K152" s="17"/>
      <c r="L152" s="17"/>
      <c r="M152" s="17"/>
      <c r="N152" s="17"/>
      <c r="O152" s="17"/>
      <c r="P152" s="17"/>
      <c r="Q152" s="17"/>
      <c r="R152" s="17"/>
      <c r="S152" s="75"/>
    </row>
    <row r="153" spans="1:19" x14ac:dyDescent="0.25">
      <c r="A153" s="115">
        <v>85</v>
      </c>
      <c r="B153" s="142" t="s">
        <v>294</v>
      </c>
      <c r="C153" s="29">
        <v>0</v>
      </c>
      <c r="D153" s="109">
        <v>14845</v>
      </c>
      <c r="E153" s="29">
        <v>0</v>
      </c>
      <c r="F153" s="110"/>
      <c r="G153" s="29"/>
      <c r="H153" s="17"/>
      <c r="I153" s="29"/>
      <c r="J153" s="17"/>
      <c r="K153" s="17"/>
      <c r="L153" s="17"/>
      <c r="M153" s="17"/>
      <c r="N153" s="17"/>
      <c r="O153" s="17"/>
      <c r="P153" s="17"/>
      <c r="Q153" s="17"/>
      <c r="R153" s="17"/>
      <c r="S153" s="75"/>
    </row>
    <row r="154" spans="1:19" x14ac:dyDescent="0.25">
      <c r="A154" s="115">
        <v>86</v>
      </c>
      <c r="B154" s="142" t="s">
        <v>295</v>
      </c>
      <c r="C154" s="29">
        <v>0</v>
      </c>
      <c r="D154" s="109">
        <v>14845</v>
      </c>
      <c r="E154" s="29">
        <v>0</v>
      </c>
      <c r="F154" s="110"/>
      <c r="G154" s="29"/>
      <c r="H154" s="17"/>
      <c r="I154" s="29"/>
      <c r="J154" s="17"/>
      <c r="K154" s="17"/>
      <c r="L154" s="17"/>
      <c r="M154" s="17"/>
      <c r="N154" s="17"/>
      <c r="O154" s="17"/>
      <c r="P154" s="17"/>
      <c r="Q154" s="17"/>
      <c r="R154" s="17"/>
      <c r="S154" s="75"/>
    </row>
    <row r="155" spans="1:19" x14ac:dyDescent="0.25">
      <c r="A155" s="115">
        <v>87</v>
      </c>
      <c r="B155" s="142" t="s">
        <v>296</v>
      </c>
      <c r="C155" s="29">
        <v>0</v>
      </c>
      <c r="D155" s="109">
        <v>14845</v>
      </c>
      <c r="E155" s="29">
        <v>0</v>
      </c>
      <c r="F155" s="110"/>
      <c r="G155" s="29"/>
      <c r="H155" s="17"/>
      <c r="I155" s="29"/>
      <c r="J155" s="17"/>
      <c r="K155" s="17"/>
      <c r="L155" s="17"/>
      <c r="M155" s="17"/>
      <c r="N155" s="17"/>
      <c r="O155" s="17"/>
      <c r="P155" s="17"/>
      <c r="Q155" s="17"/>
      <c r="R155" s="17"/>
      <c r="S155" s="75"/>
    </row>
    <row r="156" spans="1:19" x14ac:dyDescent="0.25">
      <c r="A156" s="115">
        <v>88</v>
      </c>
      <c r="B156" s="142" t="s">
        <v>297</v>
      </c>
      <c r="C156" s="29">
        <v>0</v>
      </c>
      <c r="D156" s="109">
        <v>14845</v>
      </c>
      <c r="E156" s="29">
        <v>0</v>
      </c>
      <c r="F156" s="110"/>
      <c r="G156" s="29"/>
      <c r="H156" s="17"/>
      <c r="I156" s="29"/>
      <c r="J156" s="17"/>
      <c r="K156" s="17"/>
      <c r="L156" s="17"/>
      <c r="M156" s="17"/>
      <c r="N156" s="17"/>
      <c r="O156" s="17"/>
      <c r="P156" s="17"/>
      <c r="Q156" s="17"/>
      <c r="R156" s="17"/>
      <c r="S156" s="75"/>
    </row>
    <row r="157" spans="1:19" x14ac:dyDescent="0.25">
      <c r="A157" s="115">
        <v>89</v>
      </c>
      <c r="B157" s="142" t="s">
        <v>298</v>
      </c>
      <c r="C157" s="29">
        <v>0</v>
      </c>
      <c r="D157" s="109">
        <v>14845</v>
      </c>
      <c r="E157" s="29">
        <v>0</v>
      </c>
      <c r="F157" s="110"/>
      <c r="G157" s="29"/>
      <c r="H157" s="17"/>
      <c r="I157" s="29"/>
      <c r="J157" s="17"/>
      <c r="K157" s="17"/>
      <c r="L157" s="17"/>
      <c r="M157" s="17"/>
      <c r="N157" s="17"/>
      <c r="O157" s="17"/>
      <c r="P157" s="17"/>
      <c r="Q157" s="17"/>
      <c r="R157" s="17"/>
      <c r="S157" s="75"/>
    </row>
    <row r="158" spans="1:19" x14ac:dyDescent="0.25">
      <c r="A158" s="115">
        <v>90</v>
      </c>
      <c r="B158" s="142" t="s">
        <v>299</v>
      </c>
      <c r="C158" s="29">
        <v>0</v>
      </c>
      <c r="D158" s="109">
        <v>14845</v>
      </c>
      <c r="E158" s="29">
        <v>0</v>
      </c>
      <c r="F158" s="110"/>
      <c r="G158" s="29"/>
      <c r="H158" s="17"/>
      <c r="I158" s="29"/>
      <c r="J158" s="17"/>
      <c r="K158" s="17"/>
      <c r="L158" s="17"/>
      <c r="M158" s="17"/>
      <c r="N158" s="17"/>
      <c r="O158" s="17"/>
      <c r="P158" s="17"/>
      <c r="Q158" s="17"/>
      <c r="R158" s="17"/>
      <c r="S158" s="75"/>
    </row>
    <row r="159" spans="1:19" x14ac:dyDescent="0.25">
      <c r="A159" s="115">
        <v>91</v>
      </c>
      <c r="B159" s="142" t="s">
        <v>300</v>
      </c>
      <c r="C159" s="29">
        <v>0</v>
      </c>
      <c r="D159" s="109">
        <v>14845</v>
      </c>
      <c r="E159" s="29">
        <v>0</v>
      </c>
      <c r="F159" s="110"/>
      <c r="G159" s="29"/>
      <c r="H159" s="17"/>
      <c r="I159" s="29"/>
      <c r="J159" s="17"/>
      <c r="K159" s="17"/>
      <c r="L159" s="17"/>
      <c r="M159" s="17"/>
      <c r="N159" s="17"/>
      <c r="O159" s="17"/>
      <c r="P159" s="17"/>
      <c r="Q159" s="17"/>
      <c r="R159" s="17"/>
      <c r="S159" s="75"/>
    </row>
    <row r="160" spans="1:19" x14ac:dyDescent="0.25">
      <c r="A160" s="115">
        <v>92</v>
      </c>
      <c r="B160" s="142" t="s">
        <v>301</v>
      </c>
      <c r="C160" s="29">
        <v>0</v>
      </c>
      <c r="D160" s="109">
        <v>14845</v>
      </c>
      <c r="E160" s="29">
        <v>0</v>
      </c>
      <c r="F160" s="110"/>
      <c r="G160" s="29"/>
      <c r="H160" s="17"/>
      <c r="I160" s="29"/>
      <c r="J160" s="17"/>
      <c r="K160" s="17"/>
      <c r="L160" s="17"/>
      <c r="M160" s="17"/>
      <c r="N160" s="17"/>
      <c r="O160" s="17"/>
      <c r="P160" s="17"/>
      <c r="Q160" s="17"/>
      <c r="R160" s="17"/>
      <c r="S160" s="75"/>
    </row>
    <row r="161" spans="1:19" x14ac:dyDescent="0.25">
      <c r="A161" s="115">
        <v>93</v>
      </c>
      <c r="B161" s="142" t="s">
        <v>302</v>
      </c>
      <c r="C161" s="29">
        <v>0</v>
      </c>
      <c r="D161" s="109">
        <v>14845</v>
      </c>
      <c r="E161" s="29">
        <v>0</v>
      </c>
      <c r="F161" s="110"/>
      <c r="G161" s="29"/>
      <c r="H161" s="17"/>
      <c r="I161" s="29"/>
      <c r="J161" s="17"/>
      <c r="K161" s="17"/>
      <c r="L161" s="17"/>
      <c r="M161" s="17"/>
      <c r="N161" s="17"/>
      <c r="O161" s="17"/>
      <c r="P161" s="17"/>
      <c r="Q161" s="17"/>
      <c r="R161" s="17"/>
      <c r="S161" s="75"/>
    </row>
    <row r="162" spans="1:19" x14ac:dyDescent="0.25">
      <c r="A162" s="115">
        <v>94</v>
      </c>
      <c r="B162" s="142" t="s">
        <v>303</v>
      </c>
      <c r="C162" s="29">
        <v>0</v>
      </c>
      <c r="D162" s="109">
        <v>2</v>
      </c>
      <c r="E162" s="29">
        <v>0</v>
      </c>
      <c r="F162" s="110"/>
      <c r="G162" s="29"/>
      <c r="H162" s="17"/>
      <c r="I162" s="29"/>
      <c r="J162" s="17"/>
      <c r="K162" s="17"/>
      <c r="L162" s="17"/>
      <c r="M162" s="17"/>
      <c r="N162" s="17"/>
      <c r="O162" s="17"/>
      <c r="P162" s="17"/>
      <c r="Q162" s="17"/>
      <c r="R162" s="17"/>
      <c r="S162" s="75"/>
    </row>
    <row r="163" spans="1:19" x14ac:dyDescent="0.25">
      <c r="A163" s="115">
        <v>95</v>
      </c>
      <c r="B163" s="142" t="s">
        <v>304</v>
      </c>
      <c r="C163" s="29">
        <v>0</v>
      </c>
      <c r="D163" s="109">
        <v>2</v>
      </c>
      <c r="E163" s="29">
        <v>0</v>
      </c>
      <c r="F163" s="110"/>
      <c r="G163" s="29"/>
      <c r="H163" s="17"/>
      <c r="I163" s="29"/>
      <c r="J163" s="17"/>
      <c r="K163" s="17"/>
      <c r="L163" s="17"/>
      <c r="M163" s="17"/>
      <c r="N163" s="17"/>
      <c r="O163" s="17"/>
      <c r="P163" s="17"/>
      <c r="Q163" s="17"/>
      <c r="R163" s="17"/>
      <c r="S163" s="75"/>
    </row>
    <row r="164" spans="1:19" x14ac:dyDescent="0.25">
      <c r="A164" s="115">
        <v>96</v>
      </c>
      <c r="B164" s="142" t="s">
        <v>305</v>
      </c>
      <c r="C164" s="29">
        <v>0</v>
      </c>
      <c r="D164" s="109">
        <v>2</v>
      </c>
      <c r="E164" s="29">
        <v>0</v>
      </c>
      <c r="F164" s="110"/>
      <c r="G164" s="29"/>
      <c r="H164" s="17"/>
      <c r="I164" s="29"/>
      <c r="J164" s="17"/>
      <c r="K164" s="17"/>
      <c r="L164" s="17"/>
      <c r="M164" s="17"/>
      <c r="N164" s="17"/>
      <c r="O164" s="17"/>
      <c r="P164" s="17"/>
      <c r="Q164" s="17"/>
      <c r="R164" s="17"/>
      <c r="S164" s="75"/>
    </row>
    <row r="165" spans="1:19" x14ac:dyDescent="0.25">
      <c r="A165" s="115">
        <v>97</v>
      </c>
      <c r="B165" s="142" t="s">
        <v>306</v>
      </c>
      <c r="C165" s="29">
        <v>0</v>
      </c>
      <c r="D165" s="109">
        <v>2</v>
      </c>
      <c r="E165" s="29">
        <v>0</v>
      </c>
      <c r="F165" s="110"/>
      <c r="G165" s="29"/>
      <c r="H165" s="17"/>
      <c r="I165" s="29"/>
      <c r="J165" s="17"/>
      <c r="K165" s="17"/>
      <c r="L165" s="17"/>
      <c r="M165" s="17"/>
      <c r="N165" s="17"/>
      <c r="O165" s="17"/>
      <c r="P165" s="17"/>
      <c r="Q165" s="17"/>
      <c r="R165" s="17"/>
      <c r="S165" s="75"/>
    </row>
    <row r="166" spans="1:19" x14ac:dyDescent="0.25">
      <c r="A166" s="115">
        <v>98</v>
      </c>
      <c r="B166" s="142" t="s">
        <v>307</v>
      </c>
      <c r="C166" s="29">
        <v>0</v>
      </c>
      <c r="D166" s="109">
        <v>2</v>
      </c>
      <c r="E166" s="29">
        <v>0</v>
      </c>
      <c r="F166" s="110"/>
      <c r="G166" s="29"/>
      <c r="H166" s="17"/>
      <c r="I166" s="29"/>
      <c r="J166" s="17"/>
      <c r="K166" s="17"/>
      <c r="L166" s="17"/>
      <c r="M166" s="17"/>
      <c r="N166" s="17"/>
      <c r="O166" s="17"/>
      <c r="P166" s="17"/>
      <c r="Q166" s="17"/>
      <c r="R166" s="17"/>
      <c r="S166" s="75"/>
    </row>
    <row r="167" spans="1:19" x14ac:dyDescent="0.25">
      <c r="A167" s="115">
        <v>99</v>
      </c>
      <c r="B167" s="142" t="s">
        <v>308</v>
      </c>
      <c r="C167" s="29">
        <v>0</v>
      </c>
      <c r="D167" s="109">
        <v>2</v>
      </c>
      <c r="E167" s="29">
        <v>0</v>
      </c>
      <c r="F167" s="110"/>
      <c r="G167" s="29"/>
      <c r="H167" s="17"/>
      <c r="I167" s="29"/>
      <c r="J167" s="17"/>
      <c r="K167" s="17"/>
      <c r="L167" s="17"/>
      <c r="M167" s="17"/>
      <c r="N167" s="17"/>
      <c r="O167" s="17"/>
      <c r="P167" s="17"/>
      <c r="Q167" s="17"/>
      <c r="R167" s="17"/>
      <c r="S167" s="75"/>
    </row>
    <row r="168" spans="1:19" x14ac:dyDescent="0.25">
      <c r="A168" s="115">
        <v>100</v>
      </c>
      <c r="B168" s="143" t="s">
        <v>309</v>
      </c>
      <c r="C168" s="29">
        <v>0</v>
      </c>
      <c r="D168" s="109">
        <v>14845</v>
      </c>
      <c r="E168" s="29">
        <v>0</v>
      </c>
      <c r="F168" s="110"/>
      <c r="G168" s="29"/>
      <c r="H168" s="17"/>
      <c r="I168" s="29"/>
      <c r="J168" s="17"/>
      <c r="K168" s="17"/>
      <c r="L168" s="17"/>
      <c r="M168" s="17"/>
      <c r="N168" s="17"/>
      <c r="O168" s="17"/>
      <c r="P168" s="17"/>
      <c r="Q168" s="17"/>
      <c r="R168" s="17"/>
      <c r="S168" s="75"/>
    </row>
    <row r="169" spans="1:19" x14ac:dyDescent="0.25">
      <c r="A169" s="115">
        <v>101</v>
      </c>
      <c r="B169" s="143" t="s">
        <v>310</v>
      </c>
      <c r="C169" s="29">
        <v>0</v>
      </c>
      <c r="D169" s="109">
        <v>14845</v>
      </c>
      <c r="E169" s="29">
        <v>0</v>
      </c>
      <c r="F169" s="110"/>
      <c r="G169" s="29"/>
      <c r="H169" s="17"/>
      <c r="I169" s="29"/>
      <c r="J169" s="17"/>
      <c r="K169" s="17"/>
      <c r="L169" s="17"/>
      <c r="M169" s="17"/>
      <c r="N169" s="17"/>
      <c r="O169" s="17"/>
      <c r="P169" s="17"/>
      <c r="Q169" s="17"/>
      <c r="R169" s="17"/>
      <c r="S169" s="75"/>
    </row>
    <row r="170" spans="1:19" x14ac:dyDescent="0.25">
      <c r="A170" s="115">
        <v>102</v>
      </c>
      <c r="B170" s="143" t="s">
        <v>311</v>
      </c>
      <c r="C170" s="29">
        <v>0</v>
      </c>
      <c r="D170" s="109">
        <v>14845</v>
      </c>
      <c r="E170" s="29">
        <v>0</v>
      </c>
      <c r="F170" s="110"/>
      <c r="G170" s="29"/>
      <c r="H170" s="17"/>
      <c r="I170" s="29"/>
      <c r="J170" s="17"/>
      <c r="K170" s="17"/>
      <c r="L170" s="17"/>
      <c r="M170" s="17"/>
      <c r="N170" s="17"/>
      <c r="O170" s="17"/>
      <c r="P170" s="17"/>
      <c r="Q170" s="17"/>
      <c r="R170" s="17"/>
      <c r="S170" s="75"/>
    </row>
    <row r="171" spans="1:19" x14ac:dyDescent="0.25">
      <c r="A171" s="115">
        <v>103</v>
      </c>
      <c r="B171" s="143" t="s">
        <v>312</v>
      </c>
      <c r="C171" s="29">
        <v>0</v>
      </c>
      <c r="D171" s="109">
        <v>14845</v>
      </c>
      <c r="E171" s="29">
        <v>0</v>
      </c>
      <c r="F171" s="110"/>
      <c r="G171" s="29"/>
      <c r="H171" s="17"/>
      <c r="I171" s="29"/>
      <c r="J171" s="17"/>
      <c r="K171" s="17"/>
      <c r="L171" s="17"/>
      <c r="M171" s="17"/>
      <c r="N171" s="17"/>
      <c r="O171" s="17"/>
      <c r="P171" s="17"/>
      <c r="Q171" s="17"/>
      <c r="R171" s="17"/>
      <c r="S171" s="75"/>
    </row>
    <row r="172" spans="1:19" x14ac:dyDescent="0.25">
      <c r="A172" s="115">
        <v>104</v>
      </c>
      <c r="B172" s="143" t="s">
        <v>313</v>
      </c>
      <c r="C172" s="29">
        <v>0</v>
      </c>
      <c r="D172" s="109">
        <v>14845</v>
      </c>
      <c r="E172" s="29">
        <v>0</v>
      </c>
      <c r="F172" s="110"/>
      <c r="G172" s="29"/>
      <c r="H172" s="17"/>
      <c r="I172" s="29"/>
      <c r="J172" s="17"/>
      <c r="K172" s="17"/>
      <c r="L172" s="17"/>
      <c r="M172" s="17"/>
      <c r="N172" s="17"/>
      <c r="O172" s="17"/>
      <c r="P172" s="17"/>
      <c r="Q172" s="17"/>
      <c r="R172" s="17"/>
      <c r="S172" s="75"/>
    </row>
    <row r="173" spans="1:19" x14ac:dyDescent="0.25">
      <c r="A173" s="115">
        <v>105</v>
      </c>
      <c r="B173" s="143" t="s">
        <v>314</v>
      </c>
      <c r="C173" s="29">
        <v>0</v>
      </c>
      <c r="D173" s="109">
        <v>14845</v>
      </c>
      <c r="E173" s="29">
        <v>0</v>
      </c>
      <c r="F173" s="110"/>
      <c r="G173" s="29"/>
      <c r="H173" s="17"/>
      <c r="I173" s="29"/>
      <c r="J173" s="17"/>
      <c r="K173" s="17"/>
      <c r="L173" s="17"/>
      <c r="M173" s="17"/>
      <c r="N173" s="17"/>
      <c r="O173" s="17"/>
      <c r="P173" s="17"/>
      <c r="Q173" s="17"/>
      <c r="R173" s="17"/>
      <c r="S173" s="75"/>
    </row>
    <row r="174" spans="1:19" x14ac:dyDescent="0.25">
      <c r="A174" s="115">
        <v>106</v>
      </c>
      <c r="B174" s="143" t="s">
        <v>315</v>
      </c>
      <c r="C174" s="29">
        <v>0</v>
      </c>
      <c r="D174" s="109">
        <v>14845</v>
      </c>
      <c r="E174" s="29">
        <v>0</v>
      </c>
      <c r="F174" s="110"/>
      <c r="G174" s="29"/>
      <c r="H174" s="17"/>
      <c r="I174" s="29"/>
      <c r="J174" s="17"/>
      <c r="K174" s="17"/>
      <c r="L174" s="17"/>
      <c r="M174" s="17"/>
      <c r="N174" s="17"/>
      <c r="O174" s="17"/>
      <c r="P174" s="17"/>
      <c r="Q174" s="17"/>
      <c r="R174" s="17"/>
      <c r="S174" s="75"/>
    </row>
    <row r="175" spans="1:19" x14ac:dyDescent="0.25">
      <c r="A175" s="115">
        <v>107</v>
      </c>
      <c r="B175" s="143" t="s">
        <v>316</v>
      </c>
      <c r="C175" s="29">
        <v>0</v>
      </c>
      <c r="D175" s="109">
        <v>14845</v>
      </c>
      <c r="E175" s="29">
        <v>0</v>
      </c>
      <c r="F175" s="110"/>
      <c r="G175" s="29"/>
      <c r="H175" s="17"/>
      <c r="I175" s="29"/>
      <c r="J175" s="17"/>
      <c r="K175" s="17"/>
      <c r="L175" s="17"/>
      <c r="M175" s="17"/>
      <c r="N175" s="17"/>
      <c r="O175" s="17"/>
      <c r="P175" s="17"/>
      <c r="Q175" s="17"/>
      <c r="R175" s="17"/>
      <c r="S175" s="75"/>
    </row>
    <row r="176" spans="1:19" x14ac:dyDescent="0.25">
      <c r="A176" s="115">
        <v>108</v>
      </c>
      <c r="B176" s="143" t="s">
        <v>317</v>
      </c>
      <c r="C176" s="29">
        <v>0</v>
      </c>
      <c r="D176" s="109">
        <v>14845</v>
      </c>
      <c r="E176" s="29">
        <v>0</v>
      </c>
      <c r="F176" s="110"/>
      <c r="G176" s="29"/>
      <c r="H176" s="17"/>
      <c r="I176" s="29"/>
      <c r="J176" s="17"/>
      <c r="K176" s="17"/>
      <c r="L176" s="17"/>
      <c r="M176" s="17"/>
      <c r="N176" s="17"/>
      <c r="O176" s="17"/>
      <c r="P176" s="17"/>
      <c r="Q176" s="17"/>
      <c r="R176" s="17"/>
      <c r="S176" s="75"/>
    </row>
    <row r="177" spans="1:19" x14ac:dyDescent="0.25">
      <c r="A177" s="115">
        <v>109</v>
      </c>
      <c r="B177" s="143" t="s">
        <v>318</v>
      </c>
      <c r="C177" s="29">
        <v>0</v>
      </c>
      <c r="D177" s="109">
        <v>14845</v>
      </c>
      <c r="E177" s="29">
        <v>0</v>
      </c>
      <c r="F177" s="110"/>
      <c r="G177" s="29"/>
      <c r="H177" s="17"/>
      <c r="I177" s="29"/>
      <c r="J177" s="17"/>
      <c r="K177" s="17"/>
      <c r="L177" s="17"/>
      <c r="M177" s="17"/>
      <c r="N177" s="17"/>
      <c r="O177" s="17"/>
      <c r="P177" s="17"/>
      <c r="Q177" s="17"/>
      <c r="R177" s="17"/>
      <c r="S177" s="75"/>
    </row>
    <row r="178" spans="1:19" x14ac:dyDescent="0.25">
      <c r="A178" s="115">
        <v>110</v>
      </c>
      <c r="B178" s="143" t="s">
        <v>319</v>
      </c>
      <c r="C178" s="29">
        <v>0</v>
      </c>
      <c r="D178" s="109">
        <v>2</v>
      </c>
      <c r="E178" s="29">
        <v>0</v>
      </c>
      <c r="F178" s="110"/>
      <c r="G178" s="29"/>
      <c r="H178" s="17"/>
      <c r="I178" s="29"/>
      <c r="J178" s="17"/>
      <c r="K178" s="17"/>
      <c r="L178" s="17"/>
      <c r="M178" s="17"/>
      <c r="N178" s="17"/>
      <c r="O178" s="17"/>
      <c r="P178" s="17"/>
      <c r="Q178" s="17"/>
      <c r="R178" s="17"/>
      <c r="S178" s="75"/>
    </row>
    <row r="179" spans="1:19" x14ac:dyDescent="0.25">
      <c r="A179" s="115">
        <v>111</v>
      </c>
      <c r="B179" s="143" t="s">
        <v>320</v>
      </c>
      <c r="C179" s="29">
        <v>0</v>
      </c>
      <c r="D179" s="109">
        <v>2</v>
      </c>
      <c r="E179" s="29">
        <v>0</v>
      </c>
      <c r="F179" s="110"/>
      <c r="G179" s="29"/>
      <c r="H179" s="17"/>
      <c r="I179" s="29"/>
      <c r="J179" s="17"/>
      <c r="K179" s="17"/>
      <c r="L179" s="17"/>
      <c r="M179" s="17"/>
      <c r="N179" s="17"/>
      <c r="O179" s="17"/>
      <c r="P179" s="17"/>
      <c r="Q179" s="17"/>
      <c r="R179" s="17"/>
      <c r="S179" s="75"/>
    </row>
    <row r="180" spans="1:19" x14ac:dyDescent="0.25">
      <c r="A180" s="115">
        <v>112</v>
      </c>
      <c r="B180" s="143" t="s">
        <v>321</v>
      </c>
      <c r="C180" s="29">
        <v>0</v>
      </c>
      <c r="D180" s="109">
        <v>2</v>
      </c>
      <c r="E180" s="29">
        <v>0</v>
      </c>
      <c r="F180" s="110"/>
      <c r="G180" s="29"/>
      <c r="H180" s="17"/>
      <c r="I180" s="29"/>
      <c r="J180" s="17"/>
      <c r="K180" s="17"/>
      <c r="L180" s="17"/>
      <c r="M180" s="17"/>
      <c r="N180" s="17"/>
      <c r="O180" s="17"/>
      <c r="P180" s="17"/>
      <c r="Q180" s="17"/>
      <c r="R180" s="17"/>
      <c r="S180" s="75"/>
    </row>
    <row r="181" spans="1:19" x14ac:dyDescent="0.25">
      <c r="A181" s="115">
        <v>113</v>
      </c>
      <c r="B181" s="143" t="s">
        <v>322</v>
      </c>
      <c r="C181" s="29">
        <v>0</v>
      </c>
      <c r="D181" s="109">
        <v>2</v>
      </c>
      <c r="E181" s="29">
        <v>0</v>
      </c>
      <c r="F181" s="110"/>
      <c r="G181" s="29"/>
      <c r="H181" s="17"/>
      <c r="I181" s="29"/>
      <c r="J181" s="17"/>
      <c r="K181" s="17"/>
      <c r="L181" s="17"/>
      <c r="M181" s="17"/>
      <c r="N181" s="17"/>
      <c r="O181" s="17"/>
      <c r="P181" s="17"/>
      <c r="Q181" s="17"/>
      <c r="R181" s="17"/>
      <c r="S181" s="75"/>
    </row>
    <row r="182" spans="1:19" x14ac:dyDescent="0.25">
      <c r="A182" s="115">
        <v>114</v>
      </c>
      <c r="B182" s="143" t="s">
        <v>323</v>
      </c>
      <c r="C182" s="29">
        <v>0</v>
      </c>
      <c r="D182" s="109">
        <v>2</v>
      </c>
      <c r="E182" s="29">
        <v>0</v>
      </c>
      <c r="F182" s="110"/>
      <c r="G182" s="29"/>
      <c r="H182" s="17"/>
      <c r="I182" s="29"/>
      <c r="J182" s="17"/>
      <c r="K182" s="17"/>
      <c r="L182" s="17"/>
      <c r="M182" s="17"/>
      <c r="N182" s="17"/>
      <c r="O182" s="17"/>
      <c r="P182" s="17"/>
      <c r="Q182" s="17"/>
      <c r="R182" s="17"/>
      <c r="S182" s="75"/>
    </row>
    <row r="183" spans="1:19" x14ac:dyDescent="0.25">
      <c r="A183" s="115">
        <v>115</v>
      </c>
      <c r="B183" s="143" t="s">
        <v>324</v>
      </c>
      <c r="C183" s="29">
        <v>0</v>
      </c>
      <c r="D183" s="109">
        <v>2</v>
      </c>
      <c r="E183" s="29">
        <v>0</v>
      </c>
      <c r="F183" s="110"/>
      <c r="G183" s="29"/>
      <c r="H183" s="17"/>
      <c r="I183" s="29"/>
      <c r="J183" s="17"/>
      <c r="K183" s="17"/>
      <c r="L183" s="17"/>
      <c r="M183" s="17"/>
      <c r="N183" s="17"/>
      <c r="O183" s="17"/>
      <c r="P183" s="17"/>
      <c r="Q183" s="17"/>
      <c r="R183" s="17"/>
      <c r="S183" s="75"/>
    </row>
    <row r="184" spans="1:19" x14ac:dyDescent="0.25">
      <c r="A184" s="115">
        <v>116</v>
      </c>
      <c r="B184" s="144" t="s">
        <v>325</v>
      </c>
      <c r="C184" s="29">
        <v>0</v>
      </c>
      <c r="D184" s="109">
        <v>14845</v>
      </c>
      <c r="E184" s="29">
        <v>0</v>
      </c>
      <c r="F184" s="110"/>
      <c r="G184" s="29"/>
      <c r="H184" s="17"/>
      <c r="I184" s="29"/>
      <c r="J184" s="17"/>
      <c r="K184" s="17"/>
      <c r="L184" s="17"/>
      <c r="M184" s="17"/>
      <c r="N184" s="17"/>
      <c r="O184" s="17"/>
      <c r="P184" s="17"/>
      <c r="Q184" s="17"/>
      <c r="R184" s="17"/>
      <c r="S184" s="75"/>
    </row>
    <row r="185" spans="1:19" x14ac:dyDescent="0.25">
      <c r="A185" s="115">
        <v>117</v>
      </c>
      <c r="B185" s="144" t="s">
        <v>326</v>
      </c>
      <c r="C185" s="29">
        <v>0</v>
      </c>
      <c r="D185" s="109">
        <v>14845</v>
      </c>
      <c r="E185" s="29">
        <v>0</v>
      </c>
      <c r="F185" s="110"/>
      <c r="G185" s="29"/>
      <c r="H185" s="17"/>
      <c r="I185" s="29"/>
      <c r="J185" s="17"/>
      <c r="K185" s="17"/>
      <c r="L185" s="17"/>
      <c r="M185" s="17"/>
      <c r="N185" s="17"/>
      <c r="O185" s="17"/>
      <c r="P185" s="17"/>
      <c r="Q185" s="17"/>
      <c r="R185" s="17"/>
      <c r="S185" s="75"/>
    </row>
    <row r="186" spans="1:19" x14ac:dyDescent="0.25">
      <c r="A186" s="115">
        <v>118</v>
      </c>
      <c r="B186" s="144" t="s">
        <v>327</v>
      </c>
      <c r="C186" s="29">
        <v>0</v>
      </c>
      <c r="D186" s="109">
        <v>14845</v>
      </c>
      <c r="E186" s="29">
        <v>0</v>
      </c>
      <c r="F186" s="110"/>
      <c r="G186" s="29"/>
      <c r="H186" s="17"/>
      <c r="I186" s="29"/>
      <c r="J186" s="17"/>
      <c r="K186" s="17"/>
      <c r="L186" s="17"/>
      <c r="M186" s="17"/>
      <c r="N186" s="17"/>
      <c r="O186" s="17"/>
      <c r="P186" s="17"/>
      <c r="Q186" s="17"/>
      <c r="R186" s="17"/>
      <c r="S186" s="75"/>
    </row>
    <row r="187" spans="1:19" x14ac:dyDescent="0.25">
      <c r="A187" s="115">
        <v>119</v>
      </c>
      <c r="B187" s="144" t="s">
        <v>328</v>
      </c>
      <c r="C187" s="29">
        <v>0</v>
      </c>
      <c r="D187" s="109">
        <v>14845</v>
      </c>
      <c r="E187" s="29">
        <v>0</v>
      </c>
      <c r="F187" s="110"/>
      <c r="G187" s="29"/>
      <c r="H187" s="17"/>
      <c r="I187" s="29"/>
      <c r="J187" s="17"/>
      <c r="K187" s="17"/>
      <c r="L187" s="17"/>
      <c r="M187" s="17"/>
      <c r="N187" s="17"/>
      <c r="O187" s="17"/>
      <c r="P187" s="17"/>
      <c r="Q187" s="17"/>
      <c r="R187" s="17"/>
      <c r="S187" s="75"/>
    </row>
    <row r="188" spans="1:19" x14ac:dyDescent="0.25">
      <c r="A188" s="115">
        <v>120</v>
      </c>
      <c r="B188" s="144" t="s">
        <v>329</v>
      </c>
      <c r="C188" s="29">
        <v>0</v>
      </c>
      <c r="D188" s="109">
        <v>14845</v>
      </c>
      <c r="E188" s="29">
        <v>0</v>
      </c>
      <c r="F188" s="110"/>
      <c r="G188" s="29"/>
      <c r="H188" s="17"/>
      <c r="I188" s="29"/>
      <c r="J188" s="17"/>
      <c r="K188" s="17"/>
      <c r="L188" s="17"/>
      <c r="M188" s="17"/>
      <c r="N188" s="17"/>
      <c r="O188" s="17"/>
      <c r="P188" s="17"/>
      <c r="Q188" s="17"/>
      <c r="R188" s="17"/>
      <c r="S188" s="75"/>
    </row>
    <row r="189" spans="1:19" x14ac:dyDescent="0.25">
      <c r="A189" s="115">
        <v>121</v>
      </c>
      <c r="B189" s="144" t="s">
        <v>330</v>
      </c>
      <c r="C189" s="29">
        <v>0</v>
      </c>
      <c r="D189" s="109">
        <v>14845</v>
      </c>
      <c r="E189" s="29">
        <v>0</v>
      </c>
      <c r="F189" s="110"/>
      <c r="G189" s="29"/>
      <c r="H189" s="17"/>
      <c r="I189" s="29"/>
      <c r="J189" s="17"/>
      <c r="K189" s="17"/>
      <c r="L189" s="17"/>
      <c r="M189" s="17"/>
      <c r="N189" s="17"/>
      <c r="O189" s="17"/>
      <c r="P189" s="17"/>
      <c r="Q189" s="17"/>
      <c r="R189" s="17"/>
      <c r="S189" s="75"/>
    </row>
    <row r="190" spans="1:19" x14ac:dyDescent="0.25">
      <c r="A190" s="115">
        <v>122</v>
      </c>
      <c r="B190" s="144" t="s">
        <v>331</v>
      </c>
      <c r="C190" s="29">
        <v>0</v>
      </c>
      <c r="D190" s="109">
        <v>14845</v>
      </c>
      <c r="E190" s="29">
        <v>0</v>
      </c>
      <c r="F190" s="110"/>
      <c r="G190" s="29"/>
      <c r="H190" s="17"/>
      <c r="I190" s="29"/>
      <c r="J190" s="17"/>
      <c r="K190" s="17"/>
      <c r="L190" s="17"/>
      <c r="M190" s="17"/>
      <c r="N190" s="17"/>
      <c r="O190" s="17"/>
      <c r="P190" s="17"/>
      <c r="Q190" s="17"/>
      <c r="R190" s="17"/>
      <c r="S190" s="75"/>
    </row>
    <row r="191" spans="1:19" x14ac:dyDescent="0.25">
      <c r="A191" s="115">
        <v>123</v>
      </c>
      <c r="B191" s="144" t="s">
        <v>332</v>
      </c>
      <c r="C191" s="29">
        <v>0</v>
      </c>
      <c r="D191" s="109">
        <v>14845</v>
      </c>
      <c r="E191" s="29">
        <v>0</v>
      </c>
      <c r="F191" s="110"/>
      <c r="G191" s="29"/>
      <c r="H191" s="17"/>
      <c r="I191" s="29"/>
      <c r="J191" s="17"/>
      <c r="K191" s="17"/>
      <c r="L191" s="17"/>
      <c r="M191" s="17"/>
      <c r="N191" s="17"/>
      <c r="O191" s="17"/>
      <c r="P191" s="17"/>
      <c r="Q191" s="17"/>
      <c r="R191" s="17"/>
      <c r="S191" s="75"/>
    </row>
    <row r="192" spans="1:19" x14ac:dyDescent="0.25">
      <c r="A192" s="115">
        <v>124</v>
      </c>
      <c r="B192" s="144" t="s">
        <v>333</v>
      </c>
      <c r="C192" s="29">
        <v>0</v>
      </c>
      <c r="D192" s="109">
        <v>14845</v>
      </c>
      <c r="E192" s="29">
        <v>0</v>
      </c>
      <c r="F192" s="110"/>
      <c r="G192" s="29"/>
      <c r="H192" s="17"/>
      <c r="I192" s="29"/>
      <c r="J192" s="17"/>
      <c r="K192" s="17"/>
      <c r="L192" s="17"/>
      <c r="M192" s="17"/>
      <c r="N192" s="17"/>
      <c r="O192" s="17"/>
      <c r="P192" s="17"/>
      <c r="Q192" s="17"/>
      <c r="R192" s="17"/>
      <c r="S192" s="75"/>
    </row>
    <row r="193" spans="1:19" x14ac:dyDescent="0.25">
      <c r="A193" s="115">
        <v>125</v>
      </c>
      <c r="B193" s="144" t="s">
        <v>334</v>
      </c>
      <c r="C193" s="29">
        <v>0</v>
      </c>
      <c r="D193" s="109">
        <v>14845</v>
      </c>
      <c r="E193" s="29">
        <v>0</v>
      </c>
      <c r="F193" s="110"/>
      <c r="G193" s="29"/>
      <c r="H193" s="17"/>
      <c r="I193" s="29"/>
      <c r="J193" s="17"/>
      <c r="K193" s="17"/>
      <c r="L193" s="17"/>
      <c r="M193" s="17"/>
      <c r="N193" s="17"/>
      <c r="O193" s="17"/>
      <c r="P193" s="17"/>
      <c r="Q193" s="17"/>
      <c r="R193" s="17"/>
      <c r="S193" s="75"/>
    </row>
    <row r="194" spans="1:19" x14ac:dyDescent="0.25">
      <c r="A194" s="115">
        <v>126</v>
      </c>
      <c r="B194" s="144" t="s">
        <v>335</v>
      </c>
      <c r="C194" s="29">
        <v>0</v>
      </c>
      <c r="D194" s="109">
        <v>2</v>
      </c>
      <c r="E194" s="29">
        <v>0</v>
      </c>
      <c r="F194" s="110"/>
      <c r="G194" s="29"/>
      <c r="H194" s="17"/>
      <c r="I194" s="29"/>
      <c r="J194" s="17"/>
      <c r="K194" s="17"/>
      <c r="L194" s="17"/>
      <c r="M194" s="17"/>
      <c r="N194" s="17"/>
      <c r="O194" s="17"/>
      <c r="P194" s="17"/>
      <c r="Q194" s="17"/>
      <c r="R194" s="17"/>
      <c r="S194" s="75"/>
    </row>
    <row r="195" spans="1:19" x14ac:dyDescent="0.25">
      <c r="A195" s="115">
        <v>127</v>
      </c>
      <c r="B195" s="144" t="s">
        <v>336</v>
      </c>
      <c r="C195" s="29">
        <v>0</v>
      </c>
      <c r="D195" s="109">
        <v>2</v>
      </c>
      <c r="E195" s="29">
        <v>0</v>
      </c>
      <c r="F195" s="110"/>
      <c r="G195" s="29"/>
      <c r="H195" s="17"/>
      <c r="I195" s="29"/>
      <c r="J195" s="17"/>
      <c r="K195" s="17"/>
      <c r="L195" s="17"/>
      <c r="M195" s="17"/>
      <c r="N195" s="17"/>
      <c r="O195" s="17"/>
      <c r="P195" s="17"/>
      <c r="Q195" s="17"/>
      <c r="R195" s="17"/>
      <c r="S195" s="75"/>
    </row>
    <row r="196" spans="1:19" x14ac:dyDescent="0.25">
      <c r="A196" s="115">
        <v>128</v>
      </c>
      <c r="B196" s="144" t="s">
        <v>337</v>
      </c>
      <c r="C196" s="29">
        <v>0</v>
      </c>
      <c r="D196" s="109">
        <v>2</v>
      </c>
      <c r="E196" s="29">
        <v>0</v>
      </c>
      <c r="F196" s="110"/>
      <c r="G196" s="29"/>
      <c r="H196" s="17"/>
      <c r="I196" s="29"/>
      <c r="J196" s="17"/>
      <c r="K196" s="17"/>
      <c r="L196" s="17"/>
      <c r="M196" s="17"/>
      <c r="N196" s="17"/>
      <c r="O196" s="17"/>
      <c r="P196" s="17"/>
      <c r="Q196" s="17"/>
      <c r="R196" s="17"/>
      <c r="S196" s="75"/>
    </row>
    <row r="197" spans="1:19" x14ac:dyDescent="0.25">
      <c r="A197" s="115">
        <v>129</v>
      </c>
      <c r="B197" s="144" t="s">
        <v>338</v>
      </c>
      <c r="C197" s="29">
        <v>0</v>
      </c>
      <c r="D197" s="109">
        <v>2</v>
      </c>
      <c r="E197" s="29">
        <v>0</v>
      </c>
      <c r="F197" s="110"/>
      <c r="G197" s="29"/>
      <c r="H197" s="17"/>
      <c r="I197" s="29"/>
      <c r="J197" s="17"/>
      <c r="K197" s="17"/>
      <c r="L197" s="17"/>
      <c r="M197" s="17"/>
      <c r="N197" s="17"/>
      <c r="O197" s="17"/>
      <c r="P197" s="17"/>
      <c r="Q197" s="17"/>
      <c r="R197" s="17"/>
      <c r="S197" s="75"/>
    </row>
    <row r="198" spans="1:19" x14ac:dyDescent="0.25">
      <c r="A198" s="115">
        <v>130</v>
      </c>
      <c r="B198" s="144" t="s">
        <v>339</v>
      </c>
      <c r="C198" s="29">
        <v>0</v>
      </c>
      <c r="D198" s="109">
        <v>2</v>
      </c>
      <c r="E198" s="29">
        <v>0</v>
      </c>
      <c r="F198" s="110"/>
      <c r="G198" s="29"/>
      <c r="H198" s="17"/>
      <c r="I198" s="29"/>
      <c r="J198" s="17"/>
      <c r="K198" s="17"/>
      <c r="L198" s="17"/>
      <c r="M198" s="17"/>
      <c r="N198" s="17"/>
      <c r="O198" s="17"/>
      <c r="P198" s="17"/>
      <c r="Q198" s="17"/>
      <c r="R198" s="17"/>
      <c r="S198" s="75"/>
    </row>
    <row r="199" spans="1:19" x14ac:dyDescent="0.25">
      <c r="A199" s="115">
        <v>131</v>
      </c>
      <c r="B199" s="144" t="s">
        <v>340</v>
      </c>
      <c r="C199" s="29">
        <v>0</v>
      </c>
      <c r="D199" s="109">
        <v>2</v>
      </c>
      <c r="E199" s="29">
        <v>0</v>
      </c>
      <c r="F199" s="110"/>
      <c r="G199" s="29"/>
      <c r="H199" s="17"/>
      <c r="I199" s="29"/>
      <c r="J199" s="17"/>
      <c r="K199" s="17"/>
      <c r="L199" s="17"/>
      <c r="M199" s="17"/>
      <c r="N199" s="17"/>
      <c r="O199" s="17"/>
      <c r="P199" s="17"/>
      <c r="Q199" s="17"/>
      <c r="R199" s="17"/>
      <c r="S199" s="75"/>
    </row>
    <row r="200" spans="1:19" x14ac:dyDescent="0.25">
      <c r="A200" s="115">
        <v>132</v>
      </c>
      <c r="B200" s="145" t="s">
        <v>341</v>
      </c>
      <c r="C200" s="29">
        <v>0</v>
      </c>
      <c r="D200" s="109">
        <v>14845</v>
      </c>
      <c r="E200" s="29">
        <v>0</v>
      </c>
      <c r="F200" s="110"/>
      <c r="G200" s="29"/>
      <c r="H200" s="17"/>
      <c r="I200" s="29"/>
      <c r="J200" s="17"/>
      <c r="K200" s="17"/>
      <c r="L200" s="17"/>
      <c r="M200" s="17"/>
      <c r="N200" s="17"/>
      <c r="O200" s="17"/>
      <c r="P200" s="17"/>
      <c r="Q200" s="17"/>
      <c r="R200" s="17"/>
      <c r="S200" s="75"/>
    </row>
    <row r="201" spans="1:19" x14ac:dyDescent="0.25">
      <c r="A201" s="115">
        <v>133</v>
      </c>
      <c r="B201" s="145" t="s">
        <v>342</v>
      </c>
      <c r="C201" s="29">
        <v>0</v>
      </c>
      <c r="D201" s="109">
        <v>14845</v>
      </c>
      <c r="E201" s="29">
        <v>0</v>
      </c>
      <c r="F201" s="110"/>
      <c r="G201" s="29"/>
      <c r="H201" s="17"/>
      <c r="I201" s="29"/>
      <c r="J201" s="17"/>
      <c r="K201" s="17"/>
      <c r="L201" s="17"/>
      <c r="M201" s="17"/>
      <c r="N201" s="17"/>
      <c r="O201" s="17"/>
      <c r="P201" s="17"/>
      <c r="Q201" s="17"/>
      <c r="R201" s="17"/>
      <c r="S201" s="75"/>
    </row>
    <row r="202" spans="1:19" x14ac:dyDescent="0.25">
      <c r="A202" s="115">
        <v>134</v>
      </c>
      <c r="B202" s="145" t="s">
        <v>343</v>
      </c>
      <c r="C202" s="29">
        <v>0</v>
      </c>
      <c r="D202" s="109">
        <v>14845</v>
      </c>
      <c r="E202" s="29">
        <v>0</v>
      </c>
      <c r="F202" s="110"/>
      <c r="G202" s="29"/>
      <c r="H202" s="17"/>
      <c r="I202" s="29"/>
      <c r="J202" s="17"/>
      <c r="K202" s="17"/>
      <c r="L202" s="17"/>
      <c r="M202" s="17"/>
      <c r="N202" s="17"/>
      <c r="O202" s="17"/>
      <c r="P202" s="17"/>
      <c r="Q202" s="17"/>
      <c r="R202" s="17"/>
      <c r="S202" s="75"/>
    </row>
    <row r="203" spans="1:19" x14ac:dyDescent="0.25">
      <c r="A203" s="115">
        <v>135</v>
      </c>
      <c r="B203" s="145" t="s">
        <v>344</v>
      </c>
      <c r="C203" s="29">
        <v>0</v>
      </c>
      <c r="D203" s="109">
        <v>14845</v>
      </c>
      <c r="E203" s="29">
        <v>0</v>
      </c>
      <c r="F203" s="110"/>
      <c r="G203" s="29"/>
      <c r="H203" s="17"/>
      <c r="I203" s="29"/>
      <c r="J203" s="17"/>
      <c r="K203" s="17"/>
      <c r="L203" s="17"/>
      <c r="M203" s="17"/>
      <c r="N203" s="17"/>
      <c r="O203" s="17"/>
      <c r="P203" s="17"/>
      <c r="Q203" s="17"/>
      <c r="R203" s="17"/>
      <c r="S203" s="75"/>
    </row>
    <row r="204" spans="1:19" x14ac:dyDescent="0.25">
      <c r="A204" s="115">
        <v>136</v>
      </c>
      <c r="B204" s="145" t="s">
        <v>345</v>
      </c>
      <c r="C204" s="29">
        <v>0</v>
      </c>
      <c r="D204" s="109">
        <v>14845</v>
      </c>
      <c r="E204" s="29">
        <v>0</v>
      </c>
      <c r="F204" s="110"/>
      <c r="G204" s="29"/>
      <c r="H204" s="17"/>
      <c r="I204" s="29"/>
      <c r="J204" s="17"/>
      <c r="K204" s="17"/>
      <c r="L204" s="17"/>
      <c r="M204" s="17"/>
      <c r="N204" s="17"/>
      <c r="O204" s="17"/>
      <c r="P204" s="17"/>
      <c r="Q204" s="17"/>
      <c r="R204" s="17"/>
      <c r="S204" s="75"/>
    </row>
    <row r="205" spans="1:19" x14ac:dyDescent="0.25">
      <c r="A205" s="115">
        <v>137</v>
      </c>
      <c r="B205" s="145" t="s">
        <v>346</v>
      </c>
      <c r="C205" s="29">
        <v>0</v>
      </c>
      <c r="D205" s="109">
        <v>14845</v>
      </c>
      <c r="E205" s="29">
        <v>0</v>
      </c>
      <c r="F205" s="110"/>
      <c r="G205" s="29"/>
      <c r="H205" s="17"/>
      <c r="I205" s="29"/>
      <c r="J205" s="17"/>
      <c r="K205" s="17"/>
      <c r="L205" s="17"/>
      <c r="M205" s="17"/>
      <c r="N205" s="17"/>
      <c r="O205" s="17"/>
      <c r="P205" s="17"/>
      <c r="Q205" s="17"/>
      <c r="R205" s="17"/>
      <c r="S205" s="75"/>
    </row>
    <row r="206" spans="1:19" x14ac:dyDescent="0.25">
      <c r="A206" s="115">
        <v>138</v>
      </c>
      <c r="B206" s="145" t="s">
        <v>347</v>
      </c>
      <c r="C206" s="29">
        <v>0</v>
      </c>
      <c r="D206" s="109">
        <v>14845</v>
      </c>
      <c r="E206" s="29">
        <v>0</v>
      </c>
      <c r="F206" s="110"/>
      <c r="G206" s="29"/>
      <c r="H206" s="17"/>
      <c r="I206" s="29"/>
      <c r="J206" s="17"/>
      <c r="K206" s="17"/>
      <c r="L206" s="17"/>
      <c r="M206" s="17"/>
      <c r="N206" s="17"/>
      <c r="O206" s="17"/>
      <c r="P206" s="17"/>
      <c r="Q206" s="17"/>
      <c r="R206" s="17"/>
      <c r="S206" s="75"/>
    </row>
    <row r="207" spans="1:19" x14ac:dyDescent="0.25">
      <c r="A207" s="115">
        <v>139</v>
      </c>
      <c r="B207" s="145" t="s">
        <v>348</v>
      </c>
      <c r="C207" s="29">
        <v>0</v>
      </c>
      <c r="D207" s="109">
        <v>14845</v>
      </c>
      <c r="E207" s="29">
        <v>0</v>
      </c>
      <c r="F207" s="110"/>
      <c r="G207" s="29"/>
      <c r="H207" s="17"/>
      <c r="I207" s="29"/>
      <c r="J207" s="17"/>
      <c r="K207" s="17"/>
      <c r="L207" s="17"/>
      <c r="M207" s="17"/>
      <c r="N207" s="17"/>
      <c r="O207" s="17"/>
      <c r="P207" s="17"/>
      <c r="Q207" s="17"/>
      <c r="R207" s="17"/>
      <c r="S207" s="75"/>
    </row>
    <row r="208" spans="1:19" x14ac:dyDescent="0.25">
      <c r="A208" s="115">
        <v>140</v>
      </c>
      <c r="B208" s="145" t="s">
        <v>349</v>
      </c>
      <c r="C208" s="29">
        <v>0</v>
      </c>
      <c r="D208" s="109">
        <v>14845</v>
      </c>
      <c r="E208" s="29">
        <v>0</v>
      </c>
      <c r="F208" s="110"/>
      <c r="G208" s="29"/>
      <c r="H208" s="17"/>
      <c r="I208" s="29"/>
      <c r="J208" s="17"/>
      <c r="K208" s="17"/>
      <c r="L208" s="17"/>
      <c r="M208" s="17"/>
      <c r="N208" s="17"/>
      <c r="O208" s="17"/>
      <c r="P208" s="17"/>
      <c r="Q208" s="17"/>
      <c r="R208" s="17"/>
      <c r="S208" s="75"/>
    </row>
    <row r="209" spans="1:19" x14ac:dyDescent="0.25">
      <c r="A209" s="115">
        <v>141</v>
      </c>
      <c r="B209" s="145" t="s">
        <v>350</v>
      </c>
      <c r="C209" s="29">
        <v>0</v>
      </c>
      <c r="D209" s="109">
        <v>14845</v>
      </c>
      <c r="E209" s="29">
        <v>0</v>
      </c>
      <c r="F209" s="110"/>
      <c r="G209" s="29"/>
      <c r="H209" s="17"/>
      <c r="I209" s="29"/>
      <c r="J209" s="17"/>
      <c r="K209" s="17"/>
      <c r="L209" s="17"/>
      <c r="M209" s="17"/>
      <c r="N209" s="17"/>
      <c r="O209" s="17"/>
      <c r="P209" s="17"/>
      <c r="Q209" s="17"/>
      <c r="R209" s="17"/>
      <c r="S209" s="75"/>
    </row>
    <row r="210" spans="1:19" x14ac:dyDescent="0.25">
      <c r="A210" s="115">
        <v>142</v>
      </c>
      <c r="B210" s="145" t="s">
        <v>351</v>
      </c>
      <c r="C210" s="29">
        <v>0</v>
      </c>
      <c r="D210" s="109">
        <v>2</v>
      </c>
      <c r="E210" s="29">
        <v>0</v>
      </c>
      <c r="F210" s="110"/>
      <c r="G210" s="29"/>
      <c r="H210" s="17"/>
      <c r="I210" s="29"/>
      <c r="J210" s="17"/>
      <c r="K210" s="17"/>
      <c r="L210" s="17"/>
      <c r="M210" s="17"/>
      <c r="N210" s="17"/>
      <c r="O210" s="17"/>
      <c r="P210" s="17"/>
      <c r="Q210" s="17"/>
      <c r="R210" s="17"/>
      <c r="S210" s="75"/>
    </row>
    <row r="211" spans="1:19" x14ac:dyDescent="0.25">
      <c r="A211" s="115">
        <v>143</v>
      </c>
      <c r="B211" s="145" t="s">
        <v>352</v>
      </c>
      <c r="C211" s="29">
        <v>0</v>
      </c>
      <c r="D211" s="109">
        <v>2</v>
      </c>
      <c r="E211" s="29">
        <v>0</v>
      </c>
      <c r="F211" s="110"/>
      <c r="G211" s="29"/>
      <c r="H211" s="17"/>
      <c r="I211" s="29"/>
      <c r="J211" s="17"/>
      <c r="K211" s="17"/>
      <c r="L211" s="17"/>
      <c r="M211" s="17"/>
      <c r="N211" s="17"/>
      <c r="O211" s="17"/>
      <c r="P211" s="17"/>
      <c r="Q211" s="17"/>
      <c r="R211" s="17"/>
      <c r="S211" s="75"/>
    </row>
    <row r="212" spans="1:19" x14ac:dyDescent="0.25">
      <c r="A212" s="115">
        <v>144</v>
      </c>
      <c r="B212" s="145" t="s">
        <v>353</v>
      </c>
      <c r="C212" s="29">
        <v>0</v>
      </c>
      <c r="D212" s="109">
        <v>2</v>
      </c>
      <c r="E212" s="29">
        <v>0</v>
      </c>
      <c r="F212" s="110"/>
      <c r="G212" s="29"/>
      <c r="H212" s="17"/>
      <c r="I212" s="29"/>
      <c r="J212" s="17"/>
      <c r="K212" s="17"/>
      <c r="L212" s="17"/>
      <c r="M212" s="17"/>
      <c r="N212" s="17"/>
      <c r="O212" s="17"/>
      <c r="P212" s="17"/>
      <c r="Q212" s="17"/>
      <c r="R212" s="17"/>
      <c r="S212" s="75"/>
    </row>
    <row r="213" spans="1:19" x14ac:dyDescent="0.25">
      <c r="A213" s="115">
        <v>145</v>
      </c>
      <c r="B213" s="145" t="s">
        <v>354</v>
      </c>
      <c r="C213" s="29">
        <v>0</v>
      </c>
      <c r="D213" s="109">
        <v>2</v>
      </c>
      <c r="E213" s="29">
        <v>0</v>
      </c>
      <c r="F213" s="110"/>
      <c r="G213" s="29"/>
      <c r="H213" s="17"/>
      <c r="I213" s="29"/>
      <c r="J213" s="17"/>
      <c r="K213" s="17"/>
      <c r="L213" s="17"/>
      <c r="M213" s="17"/>
      <c r="N213" s="17"/>
      <c r="O213" s="17"/>
      <c r="P213" s="17"/>
      <c r="Q213" s="17"/>
      <c r="R213" s="17"/>
      <c r="S213" s="75"/>
    </row>
    <row r="214" spans="1:19" x14ac:dyDescent="0.25">
      <c r="A214" s="115">
        <v>146</v>
      </c>
      <c r="B214" s="145" t="s">
        <v>355</v>
      </c>
      <c r="C214" s="29">
        <v>0</v>
      </c>
      <c r="D214" s="109">
        <v>2</v>
      </c>
      <c r="E214" s="29">
        <v>0</v>
      </c>
      <c r="F214" s="110"/>
      <c r="G214" s="29"/>
      <c r="H214" s="17"/>
      <c r="I214" s="29"/>
      <c r="J214" s="17"/>
      <c r="K214" s="17"/>
      <c r="L214" s="17"/>
      <c r="M214" s="17"/>
      <c r="N214" s="17"/>
      <c r="O214" s="17"/>
      <c r="P214" s="17"/>
      <c r="Q214" s="17"/>
      <c r="R214" s="17"/>
      <c r="S214" s="75"/>
    </row>
    <row r="215" spans="1:19" x14ac:dyDescent="0.25">
      <c r="A215" s="115">
        <v>147</v>
      </c>
      <c r="B215" s="145" t="s">
        <v>356</v>
      </c>
      <c r="C215" s="29">
        <v>0</v>
      </c>
      <c r="D215" s="109">
        <v>2</v>
      </c>
      <c r="E215" s="29">
        <v>0</v>
      </c>
      <c r="F215" s="110"/>
      <c r="G215" s="29"/>
      <c r="H215" s="17"/>
      <c r="I215" s="29"/>
      <c r="J215" s="17"/>
      <c r="K215" s="17"/>
      <c r="L215" s="17"/>
      <c r="M215" s="17"/>
      <c r="N215" s="17"/>
      <c r="O215" s="17"/>
      <c r="P215" s="17"/>
      <c r="Q215" s="17"/>
      <c r="R215" s="17"/>
      <c r="S215" s="75"/>
    </row>
    <row r="216" spans="1:19" x14ac:dyDescent="0.25">
      <c r="A216" s="115">
        <v>148</v>
      </c>
      <c r="B216" s="146" t="s">
        <v>357</v>
      </c>
      <c r="C216" s="29">
        <v>0</v>
      </c>
      <c r="D216" s="109">
        <v>14845</v>
      </c>
      <c r="E216" s="29">
        <v>0</v>
      </c>
      <c r="F216" s="110"/>
      <c r="G216" s="29"/>
      <c r="H216" s="17"/>
      <c r="I216" s="29"/>
      <c r="J216" s="17"/>
      <c r="K216" s="17"/>
      <c r="L216" s="17"/>
      <c r="M216" s="17"/>
      <c r="N216" s="17"/>
      <c r="O216" s="17"/>
      <c r="P216" s="17"/>
      <c r="Q216" s="17"/>
      <c r="R216" s="17"/>
      <c r="S216" s="75"/>
    </row>
    <row r="217" spans="1:19" x14ac:dyDescent="0.25">
      <c r="A217" s="115">
        <v>149</v>
      </c>
      <c r="B217" s="146" t="s">
        <v>358</v>
      </c>
      <c r="C217" s="29">
        <v>0</v>
      </c>
      <c r="D217" s="109">
        <v>14845</v>
      </c>
      <c r="E217" s="29">
        <v>0</v>
      </c>
      <c r="F217" s="110"/>
      <c r="G217" s="29"/>
      <c r="H217" s="17"/>
      <c r="I217" s="29"/>
      <c r="J217" s="17"/>
      <c r="K217" s="17"/>
      <c r="L217" s="17"/>
      <c r="M217" s="17"/>
      <c r="N217" s="17"/>
      <c r="O217" s="17"/>
      <c r="P217" s="17"/>
      <c r="Q217" s="17"/>
      <c r="R217" s="17"/>
      <c r="S217" s="75"/>
    </row>
    <row r="218" spans="1:19" x14ac:dyDescent="0.25">
      <c r="A218" s="115">
        <v>150</v>
      </c>
      <c r="B218" s="146" t="s">
        <v>359</v>
      </c>
      <c r="C218" s="29">
        <v>0</v>
      </c>
      <c r="D218" s="109">
        <v>14845</v>
      </c>
      <c r="E218" s="29">
        <v>0</v>
      </c>
      <c r="F218" s="110"/>
      <c r="G218" s="29"/>
      <c r="H218" s="17"/>
      <c r="I218" s="29"/>
      <c r="J218" s="17"/>
      <c r="K218" s="17"/>
      <c r="L218" s="17"/>
      <c r="M218" s="17"/>
      <c r="N218" s="17"/>
      <c r="O218" s="17"/>
      <c r="P218" s="17"/>
      <c r="Q218" s="17"/>
      <c r="R218" s="17"/>
      <c r="S218" s="75"/>
    </row>
    <row r="219" spans="1:19" x14ac:dyDescent="0.25">
      <c r="A219" s="115">
        <v>151</v>
      </c>
      <c r="B219" s="146" t="s">
        <v>360</v>
      </c>
      <c r="C219" s="29">
        <v>0</v>
      </c>
      <c r="D219" s="109">
        <v>14845</v>
      </c>
      <c r="E219" s="29">
        <v>0</v>
      </c>
      <c r="F219" s="110"/>
      <c r="G219" s="29"/>
      <c r="H219" s="17"/>
      <c r="I219" s="29"/>
      <c r="J219" s="17"/>
      <c r="K219" s="17"/>
      <c r="L219" s="17"/>
      <c r="M219" s="17"/>
      <c r="N219" s="17"/>
      <c r="O219" s="17"/>
      <c r="P219" s="17"/>
      <c r="Q219" s="17"/>
      <c r="R219" s="17"/>
      <c r="S219" s="75"/>
    </row>
    <row r="220" spans="1:19" x14ac:dyDescent="0.25">
      <c r="A220" s="115">
        <v>152</v>
      </c>
      <c r="B220" s="146" t="s">
        <v>361</v>
      </c>
      <c r="C220" s="29">
        <v>0</v>
      </c>
      <c r="D220" s="109">
        <v>14845</v>
      </c>
      <c r="E220" s="29">
        <v>0</v>
      </c>
      <c r="F220" s="110"/>
      <c r="G220" s="29"/>
      <c r="H220" s="17"/>
      <c r="I220" s="29"/>
      <c r="J220" s="17"/>
      <c r="K220" s="17"/>
      <c r="L220" s="17"/>
      <c r="M220" s="17"/>
      <c r="N220" s="17"/>
      <c r="O220" s="17"/>
      <c r="P220" s="17"/>
      <c r="Q220" s="17"/>
      <c r="R220" s="17"/>
      <c r="S220" s="75"/>
    </row>
    <row r="221" spans="1:19" x14ac:dyDescent="0.25">
      <c r="A221" s="115">
        <v>153</v>
      </c>
      <c r="B221" s="146" t="s">
        <v>362</v>
      </c>
      <c r="C221" s="29">
        <v>0</v>
      </c>
      <c r="D221" s="109">
        <v>14845</v>
      </c>
      <c r="E221" s="29">
        <v>0</v>
      </c>
      <c r="F221" s="110"/>
      <c r="G221" s="29"/>
      <c r="H221" s="17"/>
      <c r="I221" s="29"/>
      <c r="J221" s="17"/>
      <c r="K221" s="17"/>
      <c r="L221" s="17"/>
      <c r="M221" s="17"/>
      <c r="N221" s="17"/>
      <c r="O221" s="17"/>
      <c r="P221" s="17"/>
      <c r="Q221" s="17"/>
      <c r="R221" s="17"/>
      <c r="S221" s="75"/>
    </row>
    <row r="222" spans="1:19" x14ac:dyDescent="0.25">
      <c r="A222" s="115">
        <v>154</v>
      </c>
      <c r="B222" s="146" t="s">
        <v>363</v>
      </c>
      <c r="C222" s="29">
        <v>0</v>
      </c>
      <c r="D222" s="109">
        <v>14845</v>
      </c>
      <c r="E222" s="29">
        <v>0</v>
      </c>
      <c r="F222" s="110"/>
      <c r="G222" s="29"/>
      <c r="H222" s="17"/>
      <c r="I222" s="29"/>
      <c r="J222" s="17"/>
      <c r="K222" s="17"/>
      <c r="L222" s="17"/>
      <c r="M222" s="17"/>
      <c r="N222" s="17"/>
      <c r="O222" s="17"/>
      <c r="P222" s="17"/>
      <c r="Q222" s="17"/>
      <c r="R222" s="17"/>
      <c r="S222" s="75"/>
    </row>
    <row r="223" spans="1:19" x14ac:dyDescent="0.25">
      <c r="A223" s="115">
        <v>155</v>
      </c>
      <c r="B223" s="146" t="s">
        <v>364</v>
      </c>
      <c r="C223" s="29">
        <v>0</v>
      </c>
      <c r="D223" s="109">
        <v>14845</v>
      </c>
      <c r="E223" s="29">
        <v>0</v>
      </c>
      <c r="F223" s="110"/>
      <c r="G223" s="29"/>
      <c r="H223" s="17"/>
      <c r="I223" s="29"/>
      <c r="J223" s="17"/>
      <c r="K223" s="17"/>
      <c r="L223" s="17"/>
      <c r="M223" s="17"/>
      <c r="N223" s="17"/>
      <c r="O223" s="17"/>
      <c r="P223" s="17"/>
      <c r="Q223" s="17"/>
      <c r="R223" s="17"/>
      <c r="S223" s="75"/>
    </row>
    <row r="224" spans="1:19" x14ac:dyDescent="0.25">
      <c r="A224" s="115">
        <v>156</v>
      </c>
      <c r="B224" s="146" t="s">
        <v>365</v>
      </c>
      <c r="C224" s="29">
        <v>0</v>
      </c>
      <c r="D224" s="109">
        <v>14845</v>
      </c>
      <c r="E224" s="29">
        <v>0</v>
      </c>
      <c r="F224" s="110"/>
      <c r="G224" s="29"/>
      <c r="H224" s="17"/>
      <c r="I224" s="29"/>
      <c r="J224" s="17"/>
      <c r="K224" s="17"/>
      <c r="L224" s="17"/>
      <c r="M224" s="17"/>
      <c r="N224" s="17"/>
      <c r="O224" s="17"/>
      <c r="P224" s="17"/>
      <c r="Q224" s="17"/>
      <c r="R224" s="17"/>
      <c r="S224" s="75"/>
    </row>
    <row r="225" spans="1:19" x14ac:dyDescent="0.25">
      <c r="A225" s="115">
        <v>157</v>
      </c>
      <c r="B225" s="146" t="s">
        <v>366</v>
      </c>
      <c r="C225" s="29">
        <v>0</v>
      </c>
      <c r="D225" s="109">
        <v>14845</v>
      </c>
      <c r="E225" s="29">
        <v>0</v>
      </c>
      <c r="F225" s="110"/>
      <c r="G225" s="29"/>
      <c r="H225" s="17"/>
      <c r="I225" s="29"/>
      <c r="J225" s="17"/>
      <c r="K225" s="17"/>
      <c r="L225" s="17"/>
      <c r="M225" s="17"/>
      <c r="N225" s="17"/>
      <c r="O225" s="17"/>
      <c r="P225" s="17"/>
      <c r="Q225" s="17"/>
      <c r="R225" s="17"/>
      <c r="S225" s="75"/>
    </row>
    <row r="226" spans="1:19" x14ac:dyDescent="0.25">
      <c r="A226" s="115">
        <v>158</v>
      </c>
      <c r="B226" s="146" t="s">
        <v>367</v>
      </c>
      <c r="C226" s="29">
        <v>0</v>
      </c>
      <c r="D226" s="109">
        <v>2</v>
      </c>
      <c r="E226" s="29">
        <v>0</v>
      </c>
      <c r="F226" s="110"/>
      <c r="G226" s="29"/>
      <c r="H226" s="17"/>
      <c r="I226" s="29"/>
      <c r="J226" s="17"/>
      <c r="K226" s="17"/>
      <c r="L226" s="17"/>
      <c r="M226" s="17"/>
      <c r="N226" s="17"/>
      <c r="O226" s="17"/>
      <c r="P226" s="17"/>
      <c r="Q226" s="17"/>
      <c r="R226" s="17"/>
      <c r="S226" s="75"/>
    </row>
    <row r="227" spans="1:19" x14ac:dyDescent="0.25">
      <c r="A227" s="115">
        <v>159</v>
      </c>
      <c r="B227" s="146" t="s">
        <v>368</v>
      </c>
      <c r="C227" s="29">
        <v>0</v>
      </c>
      <c r="D227" s="109">
        <v>2</v>
      </c>
      <c r="E227" s="29">
        <v>0</v>
      </c>
      <c r="F227" s="110"/>
      <c r="G227" s="29"/>
      <c r="H227" s="17"/>
      <c r="I227" s="29"/>
      <c r="J227" s="17"/>
      <c r="K227" s="17"/>
      <c r="L227" s="17"/>
      <c r="M227" s="17"/>
      <c r="N227" s="17"/>
      <c r="O227" s="17"/>
      <c r="P227" s="17"/>
      <c r="Q227" s="17"/>
      <c r="R227" s="17"/>
      <c r="S227" s="75"/>
    </row>
    <row r="228" spans="1:19" x14ac:dyDescent="0.25">
      <c r="A228" s="115">
        <v>160</v>
      </c>
      <c r="B228" s="146" t="s">
        <v>369</v>
      </c>
      <c r="C228" s="29">
        <v>0</v>
      </c>
      <c r="D228" s="109">
        <v>2</v>
      </c>
      <c r="E228" s="29">
        <v>0</v>
      </c>
      <c r="F228" s="110"/>
      <c r="G228" s="29"/>
      <c r="H228" s="17"/>
      <c r="I228" s="29"/>
      <c r="J228" s="17"/>
      <c r="K228" s="17"/>
      <c r="L228" s="17"/>
      <c r="M228" s="17"/>
      <c r="N228" s="17"/>
      <c r="O228" s="17"/>
      <c r="P228" s="17"/>
      <c r="Q228" s="17"/>
      <c r="R228" s="17"/>
      <c r="S228" s="75"/>
    </row>
    <row r="229" spans="1:19" x14ac:dyDescent="0.25">
      <c r="A229" s="115">
        <v>161</v>
      </c>
      <c r="B229" s="146" t="s">
        <v>370</v>
      </c>
      <c r="C229" s="29">
        <v>0</v>
      </c>
      <c r="D229" s="109">
        <v>2</v>
      </c>
      <c r="E229" s="29">
        <v>0</v>
      </c>
      <c r="F229" s="110"/>
      <c r="G229" s="29"/>
      <c r="H229" s="17"/>
      <c r="I229" s="29"/>
      <c r="J229" s="17"/>
      <c r="K229" s="17"/>
      <c r="L229" s="17"/>
      <c r="M229" s="17"/>
      <c r="N229" s="17"/>
      <c r="O229" s="17"/>
      <c r="P229" s="17"/>
      <c r="Q229" s="17"/>
      <c r="R229" s="17"/>
      <c r="S229" s="75"/>
    </row>
    <row r="230" spans="1:19" x14ac:dyDescent="0.25">
      <c r="A230" s="115">
        <v>162</v>
      </c>
      <c r="B230" s="146" t="s">
        <v>371</v>
      </c>
      <c r="C230" s="29">
        <v>0</v>
      </c>
      <c r="D230" s="109">
        <v>2</v>
      </c>
      <c r="E230" s="29">
        <v>0</v>
      </c>
      <c r="F230" s="110"/>
      <c r="G230" s="29"/>
      <c r="H230" s="17"/>
      <c r="I230" s="29"/>
      <c r="J230" s="17"/>
      <c r="K230" s="17"/>
      <c r="L230" s="17"/>
      <c r="M230" s="17"/>
      <c r="N230" s="17"/>
      <c r="O230" s="17"/>
      <c r="P230" s="17"/>
      <c r="Q230" s="17"/>
      <c r="R230" s="17"/>
      <c r="S230" s="75"/>
    </row>
    <row r="231" spans="1:19" x14ac:dyDescent="0.25">
      <c r="A231" s="115">
        <v>163</v>
      </c>
      <c r="B231" s="146" t="s">
        <v>372</v>
      </c>
      <c r="C231" s="29">
        <v>0</v>
      </c>
      <c r="D231" s="109">
        <v>2</v>
      </c>
      <c r="E231" s="29">
        <v>0</v>
      </c>
      <c r="F231" s="110"/>
      <c r="G231" s="29"/>
      <c r="H231" s="17"/>
      <c r="I231" s="29"/>
      <c r="J231" s="17"/>
      <c r="K231" s="17"/>
      <c r="L231" s="17"/>
      <c r="M231" s="17"/>
      <c r="N231" s="17"/>
      <c r="O231" s="17"/>
      <c r="P231" s="17"/>
      <c r="Q231" s="17"/>
      <c r="R231" s="17"/>
      <c r="S231" s="75"/>
    </row>
    <row r="232" spans="1:19" x14ac:dyDescent="0.25">
      <c r="A232" s="115">
        <v>164</v>
      </c>
      <c r="B232" s="147" t="s">
        <v>373</v>
      </c>
      <c r="C232" s="29">
        <v>0</v>
      </c>
      <c r="D232" s="109">
        <v>14845</v>
      </c>
      <c r="E232" s="29">
        <v>0</v>
      </c>
      <c r="F232" s="110"/>
      <c r="G232" s="29"/>
      <c r="H232" s="17"/>
      <c r="I232" s="29"/>
      <c r="J232" s="17"/>
      <c r="K232" s="17"/>
      <c r="L232" s="17"/>
      <c r="M232" s="17"/>
      <c r="N232" s="17"/>
      <c r="O232" s="17"/>
      <c r="P232" s="17"/>
      <c r="Q232" s="17"/>
      <c r="R232" s="17"/>
      <c r="S232" s="75"/>
    </row>
    <row r="233" spans="1:19" x14ac:dyDescent="0.25">
      <c r="A233" s="115">
        <v>165</v>
      </c>
      <c r="B233" s="147" t="s">
        <v>374</v>
      </c>
      <c r="C233" s="29">
        <v>0</v>
      </c>
      <c r="D233" s="109">
        <v>14845</v>
      </c>
      <c r="E233" s="29">
        <v>0</v>
      </c>
      <c r="F233" s="110"/>
      <c r="G233" s="29"/>
      <c r="H233" s="17"/>
      <c r="I233" s="29"/>
      <c r="J233" s="17"/>
      <c r="K233" s="17"/>
      <c r="L233" s="17"/>
      <c r="M233" s="17"/>
      <c r="N233" s="17"/>
      <c r="O233" s="17"/>
      <c r="P233" s="17"/>
      <c r="Q233" s="17"/>
      <c r="R233" s="17"/>
      <c r="S233" s="75"/>
    </row>
    <row r="234" spans="1:19" x14ac:dyDescent="0.25">
      <c r="A234" s="115">
        <v>166</v>
      </c>
      <c r="B234" s="147" t="s">
        <v>375</v>
      </c>
      <c r="C234" s="29">
        <v>0</v>
      </c>
      <c r="D234" s="109">
        <v>14845</v>
      </c>
      <c r="E234" s="29">
        <v>0</v>
      </c>
      <c r="F234" s="110"/>
      <c r="G234" s="29"/>
      <c r="H234" s="17"/>
      <c r="I234" s="29"/>
      <c r="J234" s="17"/>
      <c r="K234" s="17"/>
      <c r="L234" s="17"/>
      <c r="M234" s="17"/>
      <c r="N234" s="17"/>
      <c r="O234" s="17"/>
      <c r="P234" s="17"/>
      <c r="Q234" s="17"/>
      <c r="R234" s="17"/>
      <c r="S234" s="75"/>
    </row>
    <row r="235" spans="1:19" x14ac:dyDescent="0.25">
      <c r="A235" s="115">
        <v>167</v>
      </c>
      <c r="B235" s="147" t="s">
        <v>376</v>
      </c>
      <c r="C235" s="29">
        <v>0</v>
      </c>
      <c r="D235" s="109">
        <v>14845</v>
      </c>
      <c r="E235" s="29">
        <v>0</v>
      </c>
      <c r="F235" s="110"/>
      <c r="G235" s="29"/>
      <c r="H235" s="17"/>
      <c r="I235" s="29"/>
      <c r="J235" s="17"/>
      <c r="K235" s="17"/>
      <c r="L235" s="17"/>
      <c r="M235" s="17"/>
      <c r="N235" s="17"/>
      <c r="O235" s="17"/>
      <c r="P235" s="17"/>
      <c r="Q235" s="17"/>
      <c r="R235" s="17"/>
      <c r="S235" s="75"/>
    </row>
    <row r="236" spans="1:19" x14ac:dyDescent="0.25">
      <c r="A236" s="115">
        <v>168</v>
      </c>
      <c r="B236" s="147" t="s">
        <v>377</v>
      </c>
      <c r="C236" s="29">
        <v>0</v>
      </c>
      <c r="D236" s="109">
        <v>14845</v>
      </c>
      <c r="E236" s="29">
        <v>0</v>
      </c>
      <c r="F236" s="110"/>
      <c r="G236" s="29"/>
      <c r="H236" s="17"/>
      <c r="I236" s="29"/>
      <c r="J236" s="17"/>
      <c r="K236" s="17"/>
      <c r="L236" s="17"/>
      <c r="M236" s="17"/>
      <c r="N236" s="17"/>
      <c r="O236" s="17"/>
      <c r="P236" s="17"/>
      <c r="Q236" s="17"/>
      <c r="R236" s="17"/>
      <c r="S236" s="75"/>
    </row>
    <row r="237" spans="1:19" x14ac:dyDescent="0.25">
      <c r="A237" s="115">
        <v>169</v>
      </c>
      <c r="B237" s="147" t="s">
        <v>378</v>
      </c>
      <c r="C237" s="29">
        <v>0</v>
      </c>
      <c r="D237" s="109">
        <v>14845</v>
      </c>
      <c r="E237" s="29">
        <v>0</v>
      </c>
      <c r="F237" s="110"/>
      <c r="G237" s="29"/>
      <c r="H237" s="17"/>
      <c r="I237" s="29"/>
      <c r="J237" s="17"/>
      <c r="K237" s="17"/>
      <c r="L237" s="17"/>
      <c r="M237" s="17"/>
      <c r="N237" s="17"/>
      <c r="O237" s="17"/>
      <c r="P237" s="17"/>
      <c r="Q237" s="17"/>
      <c r="R237" s="17"/>
      <c r="S237" s="75"/>
    </row>
    <row r="238" spans="1:19" x14ac:dyDescent="0.25">
      <c r="A238" s="115">
        <v>170</v>
      </c>
      <c r="B238" s="147" t="s">
        <v>379</v>
      </c>
      <c r="C238" s="29">
        <v>0</v>
      </c>
      <c r="D238" s="109">
        <v>14845</v>
      </c>
      <c r="E238" s="29">
        <v>0</v>
      </c>
      <c r="F238" s="110"/>
      <c r="G238" s="29"/>
      <c r="H238" s="17"/>
      <c r="I238" s="29"/>
      <c r="J238" s="17"/>
      <c r="K238" s="17"/>
      <c r="L238" s="17"/>
      <c r="M238" s="17"/>
      <c r="N238" s="17"/>
      <c r="O238" s="17"/>
      <c r="P238" s="17"/>
      <c r="Q238" s="17"/>
      <c r="R238" s="17"/>
      <c r="S238" s="75"/>
    </row>
    <row r="239" spans="1:19" x14ac:dyDescent="0.25">
      <c r="A239" s="115">
        <v>171</v>
      </c>
      <c r="B239" s="147" t="s">
        <v>380</v>
      </c>
      <c r="C239" s="29">
        <v>0</v>
      </c>
      <c r="D239" s="109">
        <v>14845</v>
      </c>
      <c r="E239" s="29">
        <v>0</v>
      </c>
      <c r="F239" s="110"/>
      <c r="G239" s="29"/>
      <c r="H239" s="17"/>
      <c r="I239" s="29"/>
      <c r="J239" s="17"/>
      <c r="K239" s="17"/>
      <c r="L239" s="17"/>
      <c r="M239" s="17"/>
      <c r="N239" s="17"/>
      <c r="O239" s="17"/>
      <c r="P239" s="17"/>
      <c r="Q239" s="17"/>
      <c r="R239" s="17"/>
      <c r="S239" s="75"/>
    </row>
    <row r="240" spans="1:19" x14ac:dyDescent="0.25">
      <c r="A240" s="115">
        <v>172</v>
      </c>
      <c r="B240" s="147" t="s">
        <v>381</v>
      </c>
      <c r="C240" s="29">
        <v>0</v>
      </c>
      <c r="D240" s="109">
        <v>14845</v>
      </c>
      <c r="E240" s="29">
        <v>0</v>
      </c>
      <c r="F240" s="110"/>
      <c r="G240" s="29"/>
      <c r="H240" s="17"/>
      <c r="I240" s="29"/>
      <c r="J240" s="17"/>
      <c r="K240" s="17"/>
      <c r="L240" s="17"/>
      <c r="M240" s="17"/>
      <c r="N240" s="17"/>
      <c r="O240" s="17"/>
      <c r="P240" s="17"/>
      <c r="Q240" s="17"/>
      <c r="R240" s="17"/>
      <c r="S240" s="75"/>
    </row>
    <row r="241" spans="1:19" x14ac:dyDescent="0.25">
      <c r="A241" s="115">
        <v>173</v>
      </c>
      <c r="B241" s="147" t="s">
        <v>382</v>
      </c>
      <c r="C241" s="29">
        <v>0</v>
      </c>
      <c r="D241" s="109">
        <v>14845</v>
      </c>
      <c r="E241" s="29">
        <v>0</v>
      </c>
      <c r="F241" s="110"/>
      <c r="G241" s="29"/>
      <c r="H241" s="17"/>
      <c r="I241" s="29"/>
      <c r="J241" s="17"/>
      <c r="K241" s="17"/>
      <c r="L241" s="17"/>
      <c r="M241" s="17"/>
      <c r="N241" s="17"/>
      <c r="O241" s="17"/>
      <c r="P241" s="17"/>
      <c r="Q241" s="17"/>
      <c r="R241" s="17"/>
      <c r="S241" s="75"/>
    </row>
    <row r="242" spans="1:19" x14ac:dyDescent="0.25">
      <c r="A242" s="115">
        <v>174</v>
      </c>
      <c r="B242" s="147" t="s">
        <v>383</v>
      </c>
      <c r="C242" s="29">
        <v>0</v>
      </c>
      <c r="D242" s="109">
        <v>2</v>
      </c>
      <c r="E242" s="29">
        <v>0</v>
      </c>
      <c r="F242" s="110"/>
      <c r="G242" s="29"/>
      <c r="H242" s="17"/>
      <c r="I242" s="29"/>
      <c r="J242" s="17"/>
      <c r="K242" s="17"/>
      <c r="L242" s="17"/>
      <c r="M242" s="17"/>
      <c r="N242" s="17"/>
      <c r="O242" s="17"/>
      <c r="P242" s="17"/>
      <c r="Q242" s="17"/>
      <c r="R242" s="17"/>
      <c r="S242" s="75"/>
    </row>
    <row r="243" spans="1:19" x14ac:dyDescent="0.25">
      <c r="A243" s="115">
        <v>175</v>
      </c>
      <c r="B243" s="147" t="s">
        <v>384</v>
      </c>
      <c r="C243" s="29">
        <v>0</v>
      </c>
      <c r="D243" s="109">
        <v>2</v>
      </c>
      <c r="E243" s="29">
        <v>0</v>
      </c>
      <c r="F243" s="110"/>
      <c r="G243" s="29"/>
      <c r="H243" s="17"/>
      <c r="I243" s="29"/>
      <c r="J243" s="17"/>
      <c r="K243" s="17"/>
      <c r="L243" s="17"/>
      <c r="M243" s="17"/>
      <c r="N243" s="17"/>
      <c r="O243" s="17"/>
      <c r="P243" s="17"/>
      <c r="Q243" s="17"/>
      <c r="R243" s="17"/>
      <c r="S243" s="75"/>
    </row>
    <row r="244" spans="1:19" x14ac:dyDescent="0.25">
      <c r="A244" s="115">
        <v>176</v>
      </c>
      <c r="B244" s="147" t="s">
        <v>385</v>
      </c>
      <c r="C244" s="29">
        <v>0</v>
      </c>
      <c r="D244" s="109">
        <v>2</v>
      </c>
      <c r="E244" s="29">
        <v>0</v>
      </c>
      <c r="F244" s="110"/>
      <c r="G244" s="29"/>
      <c r="H244" s="17"/>
      <c r="I244" s="29"/>
      <c r="J244" s="17"/>
      <c r="K244" s="17"/>
      <c r="L244" s="17"/>
      <c r="M244" s="17"/>
      <c r="N244" s="17"/>
      <c r="O244" s="17"/>
      <c r="P244" s="17"/>
      <c r="Q244" s="17"/>
      <c r="R244" s="17"/>
      <c r="S244" s="75"/>
    </row>
    <row r="245" spans="1:19" x14ac:dyDescent="0.25">
      <c r="A245" s="115">
        <v>177</v>
      </c>
      <c r="B245" s="147" t="s">
        <v>386</v>
      </c>
      <c r="C245" s="29">
        <v>0</v>
      </c>
      <c r="D245" s="109">
        <v>2</v>
      </c>
      <c r="E245" s="29">
        <v>0</v>
      </c>
      <c r="F245" s="110"/>
      <c r="G245" s="29"/>
      <c r="H245" s="17"/>
      <c r="I245" s="29"/>
      <c r="J245" s="17"/>
      <c r="K245" s="17"/>
      <c r="L245" s="17"/>
      <c r="M245" s="17"/>
      <c r="N245" s="17"/>
      <c r="O245" s="17"/>
      <c r="P245" s="17"/>
      <c r="Q245" s="17"/>
      <c r="R245" s="17"/>
      <c r="S245" s="75"/>
    </row>
    <row r="246" spans="1:19" x14ac:dyDescent="0.25">
      <c r="A246" s="115">
        <v>178</v>
      </c>
      <c r="B246" s="147" t="s">
        <v>387</v>
      </c>
      <c r="C246" s="29">
        <v>0</v>
      </c>
      <c r="D246" s="109">
        <v>2</v>
      </c>
      <c r="E246" s="29">
        <v>0</v>
      </c>
      <c r="F246" s="110"/>
      <c r="G246" s="29"/>
      <c r="H246" s="17"/>
      <c r="I246" s="29"/>
      <c r="J246" s="17"/>
      <c r="K246" s="17"/>
      <c r="L246" s="17"/>
      <c r="M246" s="17"/>
      <c r="N246" s="17"/>
      <c r="O246" s="17"/>
      <c r="P246" s="17"/>
      <c r="Q246" s="17"/>
      <c r="R246" s="17"/>
      <c r="S246" s="75"/>
    </row>
    <row r="247" spans="1:19" ht="16.5" thickBot="1" x14ac:dyDescent="0.3">
      <c r="A247" s="148">
        <v>179</v>
      </c>
      <c r="B247" s="149" t="s">
        <v>388</v>
      </c>
      <c r="C247" s="150">
        <v>0</v>
      </c>
      <c r="D247" s="151">
        <v>2</v>
      </c>
      <c r="E247" s="152">
        <v>0</v>
      </c>
      <c r="F247" s="153"/>
      <c r="G247" s="84"/>
      <c r="H247" s="83"/>
      <c r="I247" s="84"/>
      <c r="J247" s="83"/>
      <c r="K247" s="83"/>
      <c r="L247" s="83"/>
      <c r="M247" s="83"/>
      <c r="N247" s="83"/>
      <c r="O247" s="83"/>
      <c r="P247" s="83"/>
      <c r="Q247" s="83"/>
      <c r="R247" s="83"/>
      <c r="S247" s="85"/>
    </row>
    <row r="248" spans="1:19" ht="16.5" thickTop="1" x14ac:dyDescent="0.25"/>
    <row r="255" spans="1:19" ht="33.75" customHeight="1" x14ac:dyDescent="0.25"/>
    <row r="273" spans="2:2" x14ac:dyDescent="0.25">
      <c r="B273" s="154"/>
    </row>
    <row r="274" spans="2:2" x14ac:dyDescent="0.25">
      <c r="B274" s="154"/>
    </row>
    <row r="275" spans="2:2" x14ac:dyDescent="0.25">
      <c r="B275" s="154"/>
    </row>
    <row r="276" spans="2:2" x14ac:dyDescent="0.25">
      <c r="B276" s="154"/>
    </row>
    <row r="277" spans="2:2" x14ac:dyDescent="0.25">
      <c r="B277" s="154"/>
    </row>
    <row r="278" spans="2:2" x14ac:dyDescent="0.25">
      <c r="B278" s="154"/>
    </row>
    <row r="279" spans="2:2" x14ac:dyDescent="0.25">
      <c r="B279" s="154"/>
    </row>
    <row r="280" spans="2:2" x14ac:dyDescent="0.25">
      <c r="B280" s="154"/>
    </row>
  </sheetData>
  <mergeCells count="7">
    <mergeCell ref="A56:H56"/>
    <mergeCell ref="A60:C60"/>
    <mergeCell ref="K68:M68"/>
    <mergeCell ref="A1:H1"/>
    <mergeCell ref="C4:E4"/>
    <mergeCell ref="C22:F22"/>
    <mergeCell ref="L30:M30"/>
  </mergeCells>
  <conditionalFormatting sqref="L69:L78">
    <cfRule type="containsText" dxfId="17" priority="17" operator="containsText" text="[">
      <formula>NOT(ISERROR(SEARCH("[",L69)))</formula>
    </cfRule>
    <cfRule type="containsText" dxfId="16" priority="18" operator="containsText" text="#">
      <formula>NOT(ISERROR(SEARCH("#",L69)))</formula>
    </cfRule>
  </conditionalFormatting>
  <conditionalFormatting sqref="L80">
    <cfRule type="containsText" dxfId="15" priority="14" operator="containsText" text="[">
      <formula>NOT(ISERROR(SEARCH("[",L80)))</formula>
    </cfRule>
    <cfRule type="containsText" dxfId="14" priority="15" operator="containsText" text="#">
      <formula>NOT(ISERROR(SEARCH("#",L80)))</formula>
    </cfRule>
  </conditionalFormatting>
  <conditionalFormatting sqref="D69:D131 D152:D247">
    <cfRule type="cellIs" dxfId="13" priority="7" operator="equal">
      <formula>14845</formula>
    </cfRule>
    <cfRule type="cellIs" dxfId="12" priority="8" operator="equal">
      <formula>14336</formula>
    </cfRule>
    <cfRule type="cellIs" dxfId="11" priority="9" operator="equal">
      <formula>2048</formula>
    </cfRule>
    <cfRule type="cellIs" dxfId="10" priority="10" operator="equal">
      <formula>2</formula>
    </cfRule>
    <cfRule type="cellIs" dxfId="9" priority="11" operator="equal">
      <formula>1</formula>
    </cfRule>
    <cfRule type="cellIs" dxfId="8" priority="12" operator="equal">
      <formula>0</formula>
    </cfRule>
  </conditionalFormatting>
  <conditionalFormatting sqref="D132:D151">
    <cfRule type="cellIs" dxfId="7" priority="1" operator="equal">
      <formula>14845</formula>
    </cfRule>
    <cfRule type="cellIs" dxfId="6" priority="2" operator="equal">
      <formula>14336</formula>
    </cfRule>
    <cfRule type="cellIs" dxfId="5" priority="3" operator="equal">
      <formula>2048</formula>
    </cfRule>
    <cfRule type="cellIs" dxfId="4" priority="4" operator="equal">
      <formula>2</formula>
    </cfRule>
    <cfRule type="cellIs" dxfId="3" priority="5" operator="equal">
      <formula>1</formula>
    </cfRule>
    <cfRule type="cellIs" dxfId="2" priority="6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F8F45470-AA2B-4248-82A9-AB053A014326}">
            <xm:f>NOT(ISERROR(SEARCH(0,L69)))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L69:L78</xm:sqref>
        </x14:conditionalFormatting>
        <x14:conditionalFormatting xmlns:xm="http://schemas.microsoft.com/office/excel/2006/main">
          <x14:cfRule type="containsText" priority="13" operator="containsText" id="{92F48280-87A6-412B-AD96-6A2803D2D351}">
            <xm:f>NOT(ISERROR(SEARCH(0,L80)))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L80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topLeftCell="A35" workbookViewId="0">
      <selection activeCell="E55" sqref="E55"/>
    </sheetView>
  </sheetViews>
  <sheetFormatPr defaultRowHeight="15.75" x14ac:dyDescent="0.25"/>
  <cols>
    <col min="1" max="1" width="7.25" customWidth="1"/>
    <col min="2" max="2" width="32" bestFit="1" customWidth="1"/>
    <col min="3" max="3" width="20.25" bestFit="1" customWidth="1"/>
    <col min="4" max="4" width="7.25" bestFit="1" customWidth="1"/>
    <col min="5" max="5" width="66.25" bestFit="1" customWidth="1"/>
    <col min="6" max="6" width="10.75" bestFit="1" customWidth="1"/>
    <col min="7" max="7" width="13.5" bestFit="1" customWidth="1"/>
  </cols>
  <sheetData>
    <row r="1" spans="1:9" x14ac:dyDescent="0.25">
      <c r="B1" t="s">
        <v>482</v>
      </c>
    </row>
    <row r="2" spans="1:9" x14ac:dyDescent="0.25">
      <c r="B2" t="s">
        <v>483</v>
      </c>
      <c r="C2" t="s">
        <v>484</v>
      </c>
      <c r="D2" t="s">
        <v>485</v>
      </c>
      <c r="E2" t="s">
        <v>486</v>
      </c>
      <c r="F2" t="s">
        <v>487</v>
      </c>
      <c r="G2" t="s">
        <v>488</v>
      </c>
      <c r="H2" t="s">
        <v>489</v>
      </c>
      <c r="I2" t="s">
        <v>490</v>
      </c>
    </row>
    <row r="3" spans="1:9" x14ac:dyDescent="0.25">
      <c r="A3" t="s">
        <v>567</v>
      </c>
      <c r="B3" t="s">
        <v>491</v>
      </c>
      <c r="C3" t="s">
        <v>492</v>
      </c>
      <c r="D3" t="s">
        <v>493</v>
      </c>
      <c r="E3" t="s">
        <v>634</v>
      </c>
      <c r="H3" t="s">
        <v>494</v>
      </c>
    </row>
    <row r="4" spans="1:9" x14ac:dyDescent="0.25">
      <c r="A4" t="s">
        <v>568</v>
      </c>
      <c r="B4" t="s">
        <v>495</v>
      </c>
      <c r="C4" t="s">
        <v>492</v>
      </c>
      <c r="D4" t="s">
        <v>493</v>
      </c>
      <c r="E4" t="s">
        <v>635</v>
      </c>
    </row>
    <row r="5" spans="1:9" x14ac:dyDescent="0.25">
      <c r="A5" t="s">
        <v>569</v>
      </c>
      <c r="B5" t="s">
        <v>496</v>
      </c>
      <c r="C5" t="s">
        <v>497</v>
      </c>
      <c r="D5" t="s">
        <v>493</v>
      </c>
      <c r="E5" t="s">
        <v>636</v>
      </c>
      <c r="F5">
        <v>3</v>
      </c>
      <c r="G5">
        <v>7200</v>
      </c>
    </row>
    <row r="6" spans="1:9" x14ac:dyDescent="0.25">
      <c r="A6" t="s">
        <v>570</v>
      </c>
      <c r="B6" t="s">
        <v>498</v>
      </c>
      <c r="C6" t="s">
        <v>497</v>
      </c>
      <c r="D6" t="s">
        <v>493</v>
      </c>
      <c r="E6" t="s">
        <v>637</v>
      </c>
      <c r="F6">
        <v>3</v>
      </c>
      <c r="G6">
        <v>7200</v>
      </c>
    </row>
    <row r="7" spans="1:9" x14ac:dyDescent="0.25">
      <c r="A7" t="s">
        <v>571</v>
      </c>
      <c r="B7" t="s">
        <v>499</v>
      </c>
      <c r="C7" t="s">
        <v>497</v>
      </c>
      <c r="D7" t="s">
        <v>493</v>
      </c>
      <c r="E7" t="s">
        <v>638</v>
      </c>
      <c r="F7">
        <v>3</v>
      </c>
      <c r="G7">
        <v>7200</v>
      </c>
    </row>
    <row r="8" spans="1:9" x14ac:dyDescent="0.25">
      <c r="A8" t="s">
        <v>572</v>
      </c>
      <c r="B8" t="s">
        <v>500</v>
      </c>
      <c r="C8" t="s">
        <v>492</v>
      </c>
      <c r="D8" t="s">
        <v>493</v>
      </c>
      <c r="E8" t="s">
        <v>639</v>
      </c>
    </row>
    <row r="9" spans="1:9" x14ac:dyDescent="0.25">
      <c r="A9" t="s">
        <v>573</v>
      </c>
      <c r="B9" t="s">
        <v>501</v>
      </c>
      <c r="C9" t="s">
        <v>497</v>
      </c>
      <c r="D9" t="s">
        <v>493</v>
      </c>
      <c r="E9" t="s">
        <v>502</v>
      </c>
      <c r="F9">
        <v>3</v>
      </c>
      <c r="G9">
        <v>1800</v>
      </c>
    </row>
    <row r="10" spans="1:9" x14ac:dyDescent="0.25">
      <c r="A10" t="s">
        <v>574</v>
      </c>
      <c r="B10" t="s">
        <v>503</v>
      </c>
      <c r="C10" t="s">
        <v>497</v>
      </c>
      <c r="D10" t="s">
        <v>493</v>
      </c>
      <c r="E10" t="s">
        <v>640</v>
      </c>
      <c r="F10" t="s">
        <v>504</v>
      </c>
      <c r="G10">
        <v>1800</v>
      </c>
    </row>
    <row r="11" spans="1:9" x14ac:dyDescent="0.25">
      <c r="A11" t="s">
        <v>575</v>
      </c>
      <c r="B11" t="s">
        <v>505</v>
      </c>
      <c r="C11" t="s">
        <v>492</v>
      </c>
      <c r="D11" t="s">
        <v>493</v>
      </c>
      <c r="E11" t="s">
        <v>641</v>
      </c>
    </row>
    <row r="12" spans="1:9" x14ac:dyDescent="0.25">
      <c r="A12" t="s">
        <v>576</v>
      </c>
      <c r="B12" t="s">
        <v>506</v>
      </c>
      <c r="C12" t="s">
        <v>507</v>
      </c>
      <c r="D12" t="s">
        <v>493</v>
      </c>
      <c r="E12" t="s">
        <v>642</v>
      </c>
    </row>
    <row r="13" spans="1:9" x14ac:dyDescent="0.25">
      <c r="A13" t="s">
        <v>577</v>
      </c>
      <c r="B13" t="s">
        <v>508</v>
      </c>
      <c r="C13" t="s">
        <v>492</v>
      </c>
      <c r="D13" t="s">
        <v>493</v>
      </c>
      <c r="E13" t="s">
        <v>643</v>
      </c>
      <c r="F13">
        <v>3</v>
      </c>
      <c r="G13">
        <v>7200</v>
      </c>
    </row>
    <row r="14" spans="1:9" x14ac:dyDescent="0.25">
      <c r="A14" t="s">
        <v>578</v>
      </c>
      <c r="B14" t="s">
        <v>509</v>
      </c>
      <c r="C14" t="s">
        <v>492</v>
      </c>
      <c r="D14" t="s">
        <v>493</v>
      </c>
      <c r="E14" t="s">
        <v>644</v>
      </c>
      <c r="F14">
        <v>3</v>
      </c>
      <c r="G14">
        <v>7200</v>
      </c>
    </row>
    <row r="15" spans="1:9" x14ac:dyDescent="0.25">
      <c r="A15" t="s">
        <v>579</v>
      </c>
      <c r="B15" t="s">
        <v>510</v>
      </c>
      <c r="C15" t="s">
        <v>492</v>
      </c>
      <c r="D15" t="s">
        <v>493</v>
      </c>
      <c r="E15" t="s">
        <v>645</v>
      </c>
      <c r="F15">
        <v>3</v>
      </c>
      <c r="G15">
        <v>7200</v>
      </c>
    </row>
    <row r="16" spans="1:9" x14ac:dyDescent="0.25">
      <c r="A16" t="s">
        <v>580</v>
      </c>
      <c r="B16" t="s">
        <v>511</v>
      </c>
      <c r="C16" t="s">
        <v>497</v>
      </c>
      <c r="D16" t="s">
        <v>493</v>
      </c>
      <c r="E16" t="s">
        <v>646</v>
      </c>
      <c r="F16">
        <v>3</v>
      </c>
      <c r="G16">
        <v>7200</v>
      </c>
    </row>
    <row r="17" spans="1:7" x14ac:dyDescent="0.25">
      <c r="A17" t="s">
        <v>581</v>
      </c>
      <c r="B17" t="s">
        <v>512</v>
      </c>
      <c r="C17" t="s">
        <v>497</v>
      </c>
      <c r="D17" t="s">
        <v>493</v>
      </c>
      <c r="E17" t="s">
        <v>647</v>
      </c>
      <c r="F17">
        <v>3</v>
      </c>
      <c r="G17">
        <v>7200</v>
      </c>
    </row>
    <row r="18" spans="1:7" x14ac:dyDescent="0.25">
      <c r="A18" t="s">
        <v>582</v>
      </c>
      <c r="B18" t="s">
        <v>513</v>
      </c>
      <c r="C18" t="s">
        <v>497</v>
      </c>
      <c r="D18" t="s">
        <v>493</v>
      </c>
      <c r="E18" t="s">
        <v>648</v>
      </c>
      <c r="F18">
        <v>3</v>
      </c>
      <c r="G18">
        <v>7200</v>
      </c>
    </row>
    <row r="19" spans="1:7" x14ac:dyDescent="0.25">
      <c r="A19" t="s">
        <v>583</v>
      </c>
      <c r="B19" t="s">
        <v>514</v>
      </c>
      <c r="C19" t="s">
        <v>497</v>
      </c>
      <c r="D19" t="s">
        <v>493</v>
      </c>
      <c r="E19" t="s">
        <v>649</v>
      </c>
      <c r="F19">
        <v>3</v>
      </c>
      <c r="G19">
        <v>7200</v>
      </c>
    </row>
    <row r="20" spans="1:7" x14ac:dyDescent="0.25">
      <c r="A20" t="s">
        <v>584</v>
      </c>
      <c r="B20" t="s">
        <v>515</v>
      </c>
      <c r="C20" t="s">
        <v>497</v>
      </c>
      <c r="D20" t="s">
        <v>493</v>
      </c>
      <c r="E20" t="s">
        <v>650</v>
      </c>
      <c r="F20">
        <v>3</v>
      </c>
      <c r="G20">
        <v>7200</v>
      </c>
    </row>
    <row r="21" spans="1:7" x14ac:dyDescent="0.25">
      <c r="A21" t="s">
        <v>585</v>
      </c>
      <c r="B21" t="s">
        <v>516</v>
      </c>
      <c r="C21" t="s">
        <v>497</v>
      </c>
      <c r="D21" t="s">
        <v>493</v>
      </c>
      <c r="E21" t="s">
        <v>651</v>
      </c>
      <c r="F21">
        <v>3</v>
      </c>
      <c r="G21">
        <v>7200</v>
      </c>
    </row>
    <row r="22" spans="1:7" x14ac:dyDescent="0.25">
      <c r="A22" t="s">
        <v>586</v>
      </c>
      <c r="B22" t="s">
        <v>517</v>
      </c>
      <c r="C22" t="s">
        <v>497</v>
      </c>
      <c r="D22" t="s">
        <v>493</v>
      </c>
      <c r="E22" t="s">
        <v>652</v>
      </c>
      <c r="F22">
        <v>5</v>
      </c>
      <c r="G22" t="s">
        <v>518</v>
      </c>
    </row>
    <row r="23" spans="1:7" x14ac:dyDescent="0.25">
      <c r="A23" t="s">
        <v>587</v>
      </c>
      <c r="B23" t="s">
        <v>519</v>
      </c>
      <c r="C23" t="s">
        <v>497</v>
      </c>
      <c r="D23" t="s">
        <v>493</v>
      </c>
      <c r="E23" t="s">
        <v>653</v>
      </c>
      <c r="F23">
        <v>5</v>
      </c>
      <c r="G23" t="s">
        <v>518</v>
      </c>
    </row>
    <row r="24" spans="1:7" x14ac:dyDescent="0.25">
      <c r="A24" t="s">
        <v>588</v>
      </c>
      <c r="B24" t="s">
        <v>520</v>
      </c>
      <c r="C24" t="s">
        <v>507</v>
      </c>
      <c r="D24" t="s">
        <v>493</v>
      </c>
      <c r="E24" t="s">
        <v>654</v>
      </c>
      <c r="F24">
        <v>5</v>
      </c>
      <c r="G24" t="s">
        <v>521</v>
      </c>
    </row>
    <row r="25" spans="1:7" x14ac:dyDescent="0.25">
      <c r="A25" t="s">
        <v>589</v>
      </c>
      <c r="B25" t="s">
        <v>522</v>
      </c>
      <c r="C25" t="s">
        <v>492</v>
      </c>
      <c r="D25" t="s">
        <v>493</v>
      </c>
      <c r="E25" t="s">
        <v>655</v>
      </c>
    </row>
    <row r="26" spans="1:7" x14ac:dyDescent="0.25">
      <c r="A26" t="s">
        <v>590</v>
      </c>
      <c r="B26" t="s">
        <v>523</v>
      </c>
      <c r="C26" t="s">
        <v>492</v>
      </c>
      <c r="D26" t="s">
        <v>493</v>
      </c>
      <c r="E26" t="s">
        <v>656</v>
      </c>
    </row>
    <row r="27" spans="1:7" x14ac:dyDescent="0.25">
      <c r="A27" t="s">
        <v>591</v>
      </c>
      <c r="B27" t="s">
        <v>524</v>
      </c>
      <c r="C27" t="s">
        <v>492</v>
      </c>
      <c r="D27" t="s">
        <v>493</v>
      </c>
      <c r="E27" t="s">
        <v>633</v>
      </c>
    </row>
    <row r="28" spans="1:7" x14ac:dyDescent="0.25">
      <c r="A28" t="s">
        <v>592</v>
      </c>
      <c r="B28" t="s">
        <v>525</v>
      </c>
      <c r="C28" t="s">
        <v>497</v>
      </c>
      <c r="D28" t="s">
        <v>493</v>
      </c>
      <c r="E28" t="s">
        <v>657</v>
      </c>
      <c r="F28">
        <v>3</v>
      </c>
      <c r="G28">
        <v>7200</v>
      </c>
    </row>
    <row r="29" spans="1:7" x14ac:dyDescent="0.25">
      <c r="A29" t="s">
        <v>593</v>
      </c>
      <c r="B29" t="s">
        <v>526</v>
      </c>
      <c r="C29" t="s">
        <v>507</v>
      </c>
      <c r="D29" t="s">
        <v>493</v>
      </c>
      <c r="E29" t="s">
        <v>658</v>
      </c>
    </row>
    <row r="30" spans="1:7" x14ac:dyDescent="0.25">
      <c r="A30" t="s">
        <v>594</v>
      </c>
      <c r="B30" t="s">
        <v>527</v>
      </c>
      <c r="C30" t="s">
        <v>507</v>
      </c>
      <c r="D30" t="s">
        <v>493</v>
      </c>
      <c r="E30" t="s">
        <v>659</v>
      </c>
    </row>
    <row r="31" spans="1:7" x14ac:dyDescent="0.25">
      <c r="A31" t="s">
        <v>595</v>
      </c>
      <c r="B31" t="s">
        <v>528</v>
      </c>
      <c r="C31" t="s">
        <v>507</v>
      </c>
      <c r="D31" t="s">
        <v>493</v>
      </c>
      <c r="E31" t="s">
        <v>660</v>
      </c>
    </row>
    <row r="32" spans="1:7" x14ac:dyDescent="0.25">
      <c r="A32" t="s">
        <v>596</v>
      </c>
      <c r="B32" t="s">
        <v>529</v>
      </c>
      <c r="C32" t="s">
        <v>507</v>
      </c>
      <c r="D32" t="s">
        <v>493</v>
      </c>
      <c r="E32" t="s">
        <v>661</v>
      </c>
    </row>
    <row r="33" spans="1:7" x14ac:dyDescent="0.25">
      <c r="A33" t="s">
        <v>597</v>
      </c>
      <c r="B33" t="s">
        <v>530</v>
      </c>
      <c r="C33" t="s">
        <v>492</v>
      </c>
      <c r="D33" t="s">
        <v>493</v>
      </c>
      <c r="E33" t="s">
        <v>662</v>
      </c>
    </row>
    <row r="34" spans="1:7" x14ac:dyDescent="0.25">
      <c r="A34" t="s">
        <v>598</v>
      </c>
      <c r="B34" t="s">
        <v>531</v>
      </c>
      <c r="C34" t="s">
        <v>492</v>
      </c>
      <c r="D34" t="s">
        <v>493</v>
      </c>
      <c r="E34" t="s">
        <v>663</v>
      </c>
    </row>
    <row r="35" spans="1:7" x14ac:dyDescent="0.25">
      <c r="A35" t="s">
        <v>599</v>
      </c>
      <c r="B35" t="s">
        <v>532</v>
      </c>
      <c r="C35" t="s">
        <v>492</v>
      </c>
      <c r="D35" t="s">
        <v>493</v>
      </c>
      <c r="E35" t="s">
        <v>664</v>
      </c>
    </row>
    <row r="36" spans="1:7" x14ac:dyDescent="0.25">
      <c r="A36" t="s">
        <v>600</v>
      </c>
      <c r="B36" t="s">
        <v>533</v>
      </c>
      <c r="C36" t="s">
        <v>492</v>
      </c>
      <c r="D36" t="s">
        <v>493</v>
      </c>
      <c r="E36" t="s">
        <v>665</v>
      </c>
    </row>
    <row r="37" spans="1:7" x14ac:dyDescent="0.25">
      <c r="A37" t="s">
        <v>601</v>
      </c>
      <c r="B37" t="s">
        <v>534</v>
      </c>
      <c r="C37" t="s">
        <v>492</v>
      </c>
      <c r="D37" t="s">
        <v>493</v>
      </c>
      <c r="E37" t="s">
        <v>666</v>
      </c>
    </row>
    <row r="38" spans="1:7" x14ac:dyDescent="0.25">
      <c r="A38" t="s">
        <v>602</v>
      </c>
      <c r="B38" t="s">
        <v>535</v>
      </c>
      <c r="C38" t="s">
        <v>492</v>
      </c>
      <c r="D38" t="s">
        <v>493</v>
      </c>
      <c r="E38" t="s">
        <v>667</v>
      </c>
    </row>
    <row r="39" spans="1:7" x14ac:dyDescent="0.25">
      <c r="A39" t="s">
        <v>603</v>
      </c>
      <c r="B39" t="s">
        <v>536</v>
      </c>
      <c r="C39" t="s">
        <v>492</v>
      </c>
      <c r="D39" t="s">
        <v>493</v>
      </c>
      <c r="E39" t="s">
        <v>668</v>
      </c>
    </row>
    <row r="40" spans="1:7" x14ac:dyDescent="0.25">
      <c r="A40" t="s">
        <v>604</v>
      </c>
      <c r="B40" t="s">
        <v>537</v>
      </c>
      <c r="C40" t="s">
        <v>492</v>
      </c>
      <c r="D40" t="s">
        <v>493</v>
      </c>
      <c r="E40" t="s">
        <v>669</v>
      </c>
    </row>
    <row r="41" spans="1:7" x14ac:dyDescent="0.25">
      <c r="A41" t="s">
        <v>605</v>
      </c>
      <c r="B41" t="s">
        <v>538</v>
      </c>
      <c r="C41" t="s">
        <v>497</v>
      </c>
      <c r="D41" t="s">
        <v>493</v>
      </c>
      <c r="E41" t="s">
        <v>670</v>
      </c>
      <c r="F41">
        <v>3</v>
      </c>
      <c r="G41">
        <v>7200</v>
      </c>
    </row>
    <row r="42" spans="1:7" x14ac:dyDescent="0.25">
      <c r="A42" t="s">
        <v>606</v>
      </c>
      <c r="B42" t="s">
        <v>539</v>
      </c>
      <c r="C42" t="s">
        <v>497</v>
      </c>
      <c r="D42" t="s">
        <v>493</v>
      </c>
      <c r="E42" t="s">
        <v>671</v>
      </c>
      <c r="F42">
        <v>3</v>
      </c>
      <c r="G42">
        <v>7200</v>
      </c>
    </row>
    <row r="43" spans="1:7" x14ac:dyDescent="0.25">
      <c r="A43" t="s">
        <v>607</v>
      </c>
      <c r="B43" t="s">
        <v>540</v>
      </c>
      <c r="C43" t="s">
        <v>497</v>
      </c>
      <c r="D43" t="s">
        <v>493</v>
      </c>
      <c r="E43" t="s">
        <v>672</v>
      </c>
      <c r="F43">
        <v>3</v>
      </c>
      <c r="G43">
        <v>7200</v>
      </c>
    </row>
    <row r="44" spans="1:7" x14ac:dyDescent="0.25">
      <c r="A44" t="s">
        <v>608</v>
      </c>
      <c r="B44" t="s">
        <v>541</v>
      </c>
      <c r="C44" t="s">
        <v>497</v>
      </c>
      <c r="D44" t="s">
        <v>493</v>
      </c>
      <c r="E44" t="s">
        <v>673</v>
      </c>
      <c r="F44">
        <v>3</v>
      </c>
      <c r="G44">
        <v>7200</v>
      </c>
    </row>
    <row r="45" spans="1:7" x14ac:dyDescent="0.25">
      <c r="A45" t="s">
        <v>609</v>
      </c>
      <c r="B45" t="s">
        <v>542</v>
      </c>
      <c r="C45" t="s">
        <v>497</v>
      </c>
      <c r="D45" t="s">
        <v>493</v>
      </c>
      <c r="E45" t="s">
        <v>674</v>
      </c>
      <c r="F45">
        <v>3</v>
      </c>
      <c r="G45">
        <v>7200</v>
      </c>
    </row>
    <row r="46" spans="1:7" x14ac:dyDescent="0.25">
      <c r="A46" t="s">
        <v>610</v>
      </c>
      <c r="B46" t="s">
        <v>543</v>
      </c>
      <c r="C46" t="s">
        <v>497</v>
      </c>
      <c r="D46" t="s">
        <v>493</v>
      </c>
      <c r="E46" t="s">
        <v>675</v>
      </c>
      <c r="F46" t="s">
        <v>544</v>
      </c>
      <c r="G46">
        <v>1800</v>
      </c>
    </row>
    <row r="47" spans="1:7" x14ac:dyDescent="0.25">
      <c r="A47" t="s">
        <v>611</v>
      </c>
      <c r="B47" t="s">
        <v>545</v>
      </c>
      <c r="C47" t="s">
        <v>497</v>
      </c>
      <c r="D47" t="s">
        <v>493</v>
      </c>
      <c r="E47" t="s">
        <v>676</v>
      </c>
      <c r="F47" t="s">
        <v>544</v>
      </c>
      <c r="G47">
        <v>1800</v>
      </c>
    </row>
    <row r="48" spans="1:7" x14ac:dyDescent="0.25">
      <c r="A48" t="s">
        <v>612</v>
      </c>
      <c r="B48" t="s">
        <v>546</v>
      </c>
      <c r="C48" t="s">
        <v>492</v>
      </c>
      <c r="D48" t="s">
        <v>493</v>
      </c>
      <c r="E48" t="s">
        <v>677</v>
      </c>
    </row>
    <row r="49" spans="1:7" x14ac:dyDescent="0.25">
      <c r="A49" t="s">
        <v>613</v>
      </c>
      <c r="B49" t="s">
        <v>547</v>
      </c>
      <c r="C49" t="s">
        <v>507</v>
      </c>
      <c r="D49" t="s">
        <v>493</v>
      </c>
      <c r="E49" t="s">
        <v>678</v>
      </c>
    </row>
    <row r="50" spans="1:7" x14ac:dyDescent="0.25">
      <c r="A50" t="s">
        <v>614</v>
      </c>
      <c r="B50" t="s">
        <v>548</v>
      </c>
      <c r="C50" t="s">
        <v>507</v>
      </c>
      <c r="D50" t="s">
        <v>493</v>
      </c>
      <c r="E50" t="s">
        <v>679</v>
      </c>
    </row>
    <row r="51" spans="1:7" x14ac:dyDescent="0.25">
      <c r="A51" t="s">
        <v>615</v>
      </c>
      <c r="B51" t="s">
        <v>549</v>
      </c>
      <c r="C51" t="s">
        <v>497</v>
      </c>
      <c r="D51" t="s">
        <v>493</v>
      </c>
      <c r="E51" t="s">
        <v>680</v>
      </c>
      <c r="F51">
        <v>3</v>
      </c>
      <c r="G51">
        <v>86400</v>
      </c>
    </row>
    <row r="52" spans="1:7" x14ac:dyDescent="0.25">
      <c r="A52" t="s">
        <v>616</v>
      </c>
      <c r="B52" t="s">
        <v>550</v>
      </c>
      <c r="C52" t="s">
        <v>507</v>
      </c>
      <c r="D52" t="s">
        <v>493</v>
      </c>
      <c r="E52" t="s">
        <v>681</v>
      </c>
    </row>
    <row r="53" spans="1:7" x14ac:dyDescent="0.25">
      <c r="A53" t="s">
        <v>617</v>
      </c>
      <c r="B53" t="s">
        <v>551</v>
      </c>
      <c r="C53" t="s">
        <v>497</v>
      </c>
      <c r="D53" t="s">
        <v>493</v>
      </c>
      <c r="E53" t="s">
        <v>682</v>
      </c>
      <c r="F53" t="s">
        <v>544</v>
      </c>
      <c r="G53">
        <v>1800</v>
      </c>
    </row>
    <row r="54" spans="1:7" x14ac:dyDescent="0.25">
      <c r="A54" t="s">
        <v>618</v>
      </c>
      <c r="B54" t="s">
        <v>552</v>
      </c>
      <c r="C54" t="s">
        <v>507</v>
      </c>
      <c r="D54" t="s">
        <v>493</v>
      </c>
      <c r="E54" t="s">
        <v>683</v>
      </c>
      <c r="F54">
        <v>3</v>
      </c>
      <c r="G54">
        <v>7200</v>
      </c>
    </row>
    <row r="55" spans="1:7" x14ac:dyDescent="0.25">
      <c r="A55" t="s">
        <v>619</v>
      </c>
      <c r="B55" t="s">
        <v>553</v>
      </c>
      <c r="C55" t="s">
        <v>507</v>
      </c>
      <c r="D55" t="s">
        <v>493</v>
      </c>
      <c r="E55" t="s">
        <v>684</v>
      </c>
    </row>
    <row r="56" spans="1:7" x14ac:dyDescent="0.25">
      <c r="A56" t="s">
        <v>620</v>
      </c>
      <c r="B56" t="s">
        <v>554</v>
      </c>
      <c r="C56" t="s">
        <v>507</v>
      </c>
      <c r="D56" t="s">
        <v>493</v>
      </c>
      <c r="E56" t="s">
        <v>685</v>
      </c>
    </row>
    <row r="57" spans="1:7" x14ac:dyDescent="0.25">
      <c r="A57" t="s">
        <v>621</v>
      </c>
      <c r="B57" t="s">
        <v>555</v>
      </c>
      <c r="C57" t="s">
        <v>507</v>
      </c>
      <c r="D57" t="s">
        <v>493</v>
      </c>
      <c r="E57" t="s">
        <v>686</v>
      </c>
    </row>
    <row r="58" spans="1:7" x14ac:dyDescent="0.25">
      <c r="A58" t="s">
        <v>622</v>
      </c>
      <c r="B58" t="s">
        <v>556</v>
      </c>
      <c r="C58" t="s">
        <v>507</v>
      </c>
      <c r="D58" t="s">
        <v>493</v>
      </c>
      <c r="E58" t="s">
        <v>687</v>
      </c>
    </row>
    <row r="59" spans="1:7" x14ac:dyDescent="0.25">
      <c r="A59" t="s">
        <v>623</v>
      </c>
      <c r="B59" t="s">
        <v>557</v>
      </c>
      <c r="C59" t="s">
        <v>507</v>
      </c>
      <c r="D59" t="s">
        <v>493</v>
      </c>
      <c r="E59" t="s">
        <v>688</v>
      </c>
    </row>
    <row r="60" spans="1:7" x14ac:dyDescent="0.25">
      <c r="A60" t="s">
        <v>624</v>
      </c>
      <c r="B60" t="s">
        <v>558</v>
      </c>
      <c r="C60" t="s">
        <v>507</v>
      </c>
      <c r="D60" t="s">
        <v>493</v>
      </c>
      <c r="E60" t="s">
        <v>689</v>
      </c>
    </row>
    <row r="61" spans="1:7" x14ac:dyDescent="0.25">
      <c r="A61" t="s">
        <v>625</v>
      </c>
      <c r="B61" t="s">
        <v>559</v>
      </c>
      <c r="C61" t="s">
        <v>497</v>
      </c>
      <c r="D61" t="s">
        <v>493</v>
      </c>
      <c r="E61" t="s">
        <v>690</v>
      </c>
      <c r="F61">
        <v>3</v>
      </c>
      <c r="G61">
        <v>7200</v>
      </c>
    </row>
    <row r="62" spans="1:7" x14ac:dyDescent="0.25">
      <c r="A62" t="s">
        <v>626</v>
      </c>
      <c r="B62" t="s">
        <v>560</v>
      </c>
      <c r="C62" t="s">
        <v>507</v>
      </c>
      <c r="D62" t="s">
        <v>493</v>
      </c>
      <c r="E62" t="s">
        <v>691</v>
      </c>
    </row>
    <row r="63" spans="1:7" x14ac:dyDescent="0.25">
      <c r="A63" t="s">
        <v>627</v>
      </c>
      <c r="B63" t="s">
        <v>561</v>
      </c>
      <c r="C63" t="s">
        <v>507</v>
      </c>
      <c r="D63" t="s">
        <v>493</v>
      </c>
      <c r="E63" t="s">
        <v>692</v>
      </c>
    </row>
    <row r="64" spans="1:7" x14ac:dyDescent="0.25">
      <c r="A64" t="s">
        <v>628</v>
      </c>
      <c r="B64" t="s">
        <v>562</v>
      </c>
      <c r="C64" t="s">
        <v>507</v>
      </c>
      <c r="D64" t="s">
        <v>493</v>
      </c>
      <c r="E64" t="s">
        <v>697</v>
      </c>
    </row>
    <row r="65" spans="1:5" x14ac:dyDescent="0.25">
      <c r="A65" t="s">
        <v>629</v>
      </c>
      <c r="B65" t="s">
        <v>563</v>
      </c>
      <c r="C65" t="s">
        <v>507</v>
      </c>
      <c r="D65" t="s">
        <v>493</v>
      </c>
      <c r="E65" t="s">
        <v>696</v>
      </c>
    </row>
    <row r="66" spans="1:5" x14ac:dyDescent="0.25">
      <c r="A66" t="s">
        <v>630</v>
      </c>
      <c r="B66" t="s">
        <v>564</v>
      </c>
      <c r="C66" t="s">
        <v>507</v>
      </c>
      <c r="D66" t="s">
        <v>493</v>
      </c>
      <c r="E66" t="s">
        <v>695</v>
      </c>
    </row>
    <row r="67" spans="1:5" x14ac:dyDescent="0.25">
      <c r="A67" t="s">
        <v>631</v>
      </c>
      <c r="B67" t="s">
        <v>565</v>
      </c>
      <c r="C67" t="s">
        <v>507</v>
      </c>
      <c r="D67" t="s">
        <v>493</v>
      </c>
      <c r="E67" t="s">
        <v>694</v>
      </c>
    </row>
    <row r="68" spans="1:5" x14ac:dyDescent="0.25">
      <c r="A68" t="s">
        <v>632</v>
      </c>
      <c r="B68" t="s">
        <v>566</v>
      </c>
      <c r="C68" t="s">
        <v>507</v>
      </c>
      <c r="D68" t="s">
        <v>493</v>
      </c>
      <c r="E68" t="s">
        <v>693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5"/>
  <sheetViews>
    <sheetView workbookViewId="0">
      <selection activeCell="B6" sqref="B6"/>
    </sheetView>
  </sheetViews>
  <sheetFormatPr defaultRowHeight="15.75" x14ac:dyDescent="0.25"/>
  <sheetData>
    <row r="1" spans="1:13" ht="18.75" x14ac:dyDescent="0.3">
      <c r="A1" s="190" t="s">
        <v>467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</row>
    <row r="2" spans="1:13" x14ac:dyDescent="0.25">
      <c r="A2" t="s">
        <v>468</v>
      </c>
    </row>
    <row r="3" spans="1:13" x14ac:dyDescent="0.25">
      <c r="A3" t="s">
        <v>469</v>
      </c>
    </row>
    <row r="4" spans="1:13" x14ac:dyDescent="0.25">
      <c r="A4" t="s">
        <v>470</v>
      </c>
    </row>
    <row r="5" spans="1:13" x14ac:dyDescent="0.25">
      <c r="A5" t="s">
        <v>471</v>
      </c>
      <c r="H5" s="191" t="s">
        <v>479</v>
      </c>
    </row>
  </sheetData>
  <hyperlinks>
    <hyperlink ref="H5" location="STCT_Display" display="Display =&gt;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ПРАВИЛА</vt:lpstr>
      <vt:lpstr>Структуры</vt:lpstr>
      <vt:lpstr>Зависимости</vt:lpstr>
      <vt:lpstr>Аварии</vt:lpstr>
      <vt:lpstr>Дисплей</vt:lpstr>
      <vt:lpstr>STCT_Display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Дорофеев</dc:creator>
  <cp:lastModifiedBy>Сергей Дорофеев</cp:lastModifiedBy>
  <dcterms:created xsi:type="dcterms:W3CDTF">2019-11-11T06:39:09Z</dcterms:created>
  <dcterms:modified xsi:type="dcterms:W3CDTF">2020-11-09T10:04:28Z</dcterms:modified>
</cp:coreProperties>
</file>